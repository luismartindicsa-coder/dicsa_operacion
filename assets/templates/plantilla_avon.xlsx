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 date1904="1"/>
  <mc:AlternateContent xmlns:mc="http://schemas.openxmlformats.org/markup-compatibility/2006">
    <mc:Choice Requires="x15">
      <x15ac:absPath xmlns:x15ac="http://schemas.microsoft.com/office/spreadsheetml/2010/11/ac" url="/Users/martinvelzat/Downloads/"/>
    </mc:Choice>
  </mc:AlternateContent>
  <xr:revisionPtr revIDLastSave="0" documentId="8_{CC8100AC-A6FC-B043-8FEB-120D587C4C21}" xr6:coauthVersionLast="47" xr6:coauthVersionMax="47" xr10:uidLastSave="{00000000-0000-0000-0000-000000000000}"/>
  <bookViews>
    <workbookView xWindow="0" yWindow="760" windowWidth="29040" windowHeight="15840" tabRatio="902" xr2:uid="{00000000-000D-0000-FFFF-FFFF00000000}"/>
  </bookViews>
  <sheets>
    <sheet name="SEMANA" sheetId="10" r:id="rId1"/>
    <sheet name="Rep de pago 1" sheetId="42" r:id="rId2"/>
    <sheet name="Purgas" sheetId="22" state="hidden" r:id="rId3"/>
    <sheet name="RP'S" sheetId="23" state="hidden" r:id="rId4"/>
  </sheets>
  <definedNames>
    <definedName name="_xlnm._FilterDatabase" localSheetId="0" hidden="1">SEMANA!$C$3:$O$56</definedName>
    <definedName name="_xlnm.Print_Area" localSheetId="2">Purgas!$B$1:$I$7</definedName>
    <definedName name="_xlnm.Print_Area" localSheetId="3">'RP''S'!$B$1:$I$8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2" l="1"/>
  <c r="E5" i="42"/>
  <c r="N56" i="10" l="1"/>
  <c r="C20" i="42" l="1"/>
  <c r="E17" i="42"/>
  <c r="E18" i="42"/>
  <c r="E15" i="42" l="1"/>
  <c r="E16" i="42" l="1"/>
  <c r="E8" i="42"/>
  <c r="E13" i="42" l="1"/>
  <c r="E12" i="42"/>
  <c r="E6" i="42"/>
  <c r="E7" i="42" l="1"/>
  <c r="E10" i="42"/>
  <c r="E14" i="42" l="1"/>
  <c r="E9" i="42" l="1"/>
  <c r="E11" i="42"/>
  <c r="E20" i="42" l="1"/>
  <c r="L10" i="22"/>
  <c r="O55" i="10" l="1"/>
  <c r="L5" i="22" l="1"/>
  <c r="L6" i="22"/>
  <c r="L11" i="22"/>
  <c r="L14" i="22"/>
  <c r="L15" i="22"/>
  <c r="L16" i="22"/>
  <c r="L20" i="22"/>
  <c r="L21" i="22"/>
  <c r="L25" i="22"/>
  <c r="L26" i="22"/>
  <c r="L6" i="23"/>
  <c r="L7" i="23"/>
  <c r="L5" i="23"/>
  <c r="L21" i="23"/>
  <c r="L11" i="23"/>
  <c r="L38" i="23"/>
  <c r="L37" i="23"/>
  <c r="L36" i="23"/>
  <c r="L35" i="23"/>
  <c r="L34" i="23"/>
  <c r="L18" i="23"/>
  <c r="L19" i="23"/>
  <c r="L20" i="23"/>
  <c r="L26" i="23"/>
  <c r="L27" i="23"/>
  <c r="L28" i="23"/>
  <c r="L29" i="23"/>
  <c r="L12" i="23"/>
  <c r="L13" i="23"/>
  <c r="L14" i="23"/>
  <c r="L30" i="23" l="1"/>
  <c r="L39" i="23"/>
  <c r="L8" i="23"/>
  <c r="L7" i="22"/>
  <c r="L22" i="22"/>
  <c r="L22" i="23"/>
  <c r="L15" i="23"/>
  <c r="L17" i="22"/>
  <c r="L27" i="22"/>
  <c r="L42" i="23" l="1"/>
  <c r="L30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Quintana/Other/Consultant</author>
  </authors>
  <commentList>
    <comment ref="D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Alfredo Quintana/Other/Consultant:</t>
        </r>
        <r>
          <rPr>
            <sz val="9"/>
            <color indexed="81"/>
            <rFont val="Tahoma"/>
            <family val="2"/>
          </rPr>
          <t xml:space="preserve">
POR EVENTO, NO SE COLOCA PRECIO EN COTIZACION INICIAL</t>
        </r>
      </text>
    </comment>
    <comment ref="D1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Alfredo Quintana/Other/Consultant:</t>
        </r>
        <r>
          <rPr>
            <sz val="9"/>
            <color indexed="81"/>
            <rFont val="Tahoma"/>
            <family val="2"/>
          </rPr>
          <t xml:space="preserve">
POR EVENTO, NO SE COLOCA PRECIO EN COTIZACION INICIAL</t>
        </r>
      </text>
    </comment>
  </commentList>
</comments>
</file>

<file path=xl/sharedStrings.xml><?xml version="1.0" encoding="utf-8"?>
<sst xmlns="http://schemas.openxmlformats.org/spreadsheetml/2006/main" count="81" uniqueCount="57">
  <si>
    <t xml:space="preserve">Datos de contenedor </t>
  </si>
  <si>
    <t>Número de Placas</t>
  </si>
  <si>
    <t>Fecha</t>
    <phoneticPr fontId="8" type="noConversion"/>
  </si>
  <si>
    <t>TOTAL SEMANA 1</t>
    <phoneticPr fontId="8" type="noConversion"/>
  </si>
  <si>
    <t>TOTAL</t>
  </si>
  <si>
    <t>No. De Partida</t>
  </si>
  <si>
    <t>Número Econòmico</t>
  </si>
  <si>
    <t xml:space="preserve">Nombre del operador </t>
  </si>
  <si>
    <t>Datos del vehìculo</t>
  </si>
  <si>
    <t>Descripciòn del material</t>
  </si>
  <si>
    <t>TOTAL SEMANA 4</t>
    <phoneticPr fontId="8" type="noConversion"/>
  </si>
  <si>
    <t xml:space="preserve">Báscula de referencia </t>
    <phoneticPr fontId="8" type="noConversion"/>
  </si>
  <si>
    <t>Concepto</t>
  </si>
  <si>
    <t>Peso Bruto</t>
  </si>
  <si>
    <t>Peso Tara</t>
  </si>
  <si>
    <t>Total</t>
    <phoneticPr fontId="8" type="noConversion"/>
  </si>
  <si>
    <t>TOTAL SEMANA 3</t>
    <phoneticPr fontId="8" type="noConversion"/>
  </si>
  <si>
    <t>Material</t>
    <phoneticPr fontId="8" type="noConversion"/>
  </si>
  <si>
    <t>Cantidad (peso en Kg.)</t>
    <phoneticPr fontId="8" type="noConversion"/>
  </si>
  <si>
    <t>Costo Unitario</t>
    <phoneticPr fontId="8" type="noConversion"/>
  </si>
  <si>
    <t>TOTAL SEMANA 2</t>
    <phoneticPr fontId="8" type="noConversion"/>
  </si>
  <si>
    <t>Folio AVON</t>
  </si>
  <si>
    <t>Folio Vigilancia</t>
  </si>
  <si>
    <t>Chatarra</t>
  </si>
  <si>
    <t>Folleto</t>
  </si>
  <si>
    <t>Vidrio</t>
  </si>
  <si>
    <t>Caple/Cajilla</t>
  </si>
  <si>
    <t>TOTAL MENSUAL</t>
  </si>
  <si>
    <t>Aluminio</t>
  </si>
  <si>
    <t>TOTAL SEMANA 5</t>
  </si>
  <si>
    <t>Textil</t>
  </si>
  <si>
    <t>FECHA</t>
  </si>
  <si>
    <t>Fecha</t>
    <phoneticPr fontId="8" type="noConversion"/>
  </si>
  <si>
    <t xml:space="preserve">Báscula de referencia </t>
    <phoneticPr fontId="8" type="noConversion"/>
  </si>
  <si>
    <t>Peso Bruto</t>
    <phoneticPr fontId="8" type="noConversion"/>
  </si>
  <si>
    <t>Peso Tara</t>
    <phoneticPr fontId="8" type="noConversion"/>
  </si>
  <si>
    <t>Fecha</t>
    <phoneticPr fontId="8" type="noConversion"/>
  </si>
  <si>
    <t>TOTAL SEMANA 3</t>
    <phoneticPr fontId="8" type="noConversion"/>
  </si>
  <si>
    <t>TOTAL SEMANA 1</t>
    <phoneticPr fontId="8" type="noConversion"/>
  </si>
  <si>
    <t>TOTAL MENSUAL</t>
    <phoneticPr fontId="8" type="noConversion"/>
  </si>
  <si>
    <t>TOTAL SEMANA 4</t>
    <phoneticPr fontId="8" type="noConversion"/>
  </si>
  <si>
    <t>FOLIO AVON (el que dan en la PTAR)</t>
  </si>
  <si>
    <t>Corrugado (carton)</t>
  </si>
  <si>
    <t>Plástico mixto</t>
  </si>
  <si>
    <t>Tarima madera</t>
  </si>
  <si>
    <t>Pedacera madera</t>
  </si>
  <si>
    <t>Bronce</t>
  </si>
  <si>
    <t>Acero Inoxidable</t>
  </si>
  <si>
    <t>Bond</t>
  </si>
  <si>
    <t>Filtros de celulosa</t>
  </si>
  <si>
    <t>Plástico lavado</t>
  </si>
  <si>
    <t>N° Manifiesto</t>
  </si>
  <si>
    <t>Resumen semanal  (Cantidad por pagar)</t>
  </si>
  <si>
    <t xml:space="preserve">AJUSTE </t>
  </si>
  <si>
    <t>BASURA/    HUMEDAD</t>
  </si>
  <si>
    <t xml:space="preserve">Semana del </t>
  </si>
  <si>
    <t xml:space="preserve">TOTAL SEMANA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</si>
</sst>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$-80A]#,##0.00"/>
    <numFmt numFmtId="166" formatCode="0.000"/>
    <numFmt numFmtId="167" formatCode="0.0"/>
  </numFmts>
  <fonts count="29" x14ac:knownFonts="1"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8"/>
      <name val="Verdana"/>
      <family val="2"/>
    </font>
    <font>
      <sz val="10"/>
      <name val="Century Gothic"/>
      <family val="2"/>
    </font>
    <font>
      <b/>
      <u/>
      <sz val="12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i/>
      <sz val="9"/>
      <name val="Century Gothic"/>
      <family val="2"/>
    </font>
    <font>
      <b/>
      <sz val="9"/>
      <name val="Century Gothic"/>
      <family val="2"/>
    </font>
    <font>
      <b/>
      <u/>
      <sz val="9"/>
      <name val="Century Gothic"/>
      <family val="2"/>
    </font>
    <font>
      <b/>
      <i/>
      <u/>
      <sz val="9"/>
      <name val="Century Gothic"/>
      <family val="2"/>
    </font>
    <font>
      <sz val="9"/>
      <color theme="1"/>
      <name val="Century Gothic"/>
      <family val="2"/>
    </font>
    <font>
      <b/>
      <sz val="9"/>
      <color indexed="8"/>
      <name val="Century Gothic"/>
      <family val="2"/>
    </font>
    <font>
      <b/>
      <sz val="9"/>
      <color theme="1"/>
      <name val="Century Gothic"/>
      <family val="2"/>
    </font>
    <font>
      <b/>
      <u/>
      <sz val="9"/>
      <color theme="1"/>
      <name val="Century Gothic"/>
      <family val="2"/>
    </font>
    <font>
      <b/>
      <i/>
      <u/>
      <sz val="9"/>
      <color theme="1"/>
      <name val="Century Gothic"/>
      <family val="2"/>
    </font>
    <font>
      <i/>
      <sz val="9"/>
      <color theme="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4"/>
      <name val="Century Gothic"/>
      <family val="2"/>
    </font>
    <font>
      <sz val="10"/>
      <name val="Comic Sans MS"/>
      <family val="4"/>
    </font>
    <font>
      <b/>
      <sz val="11"/>
      <name val="Century Gothic"/>
      <family val="2"/>
    </font>
    <font>
      <b/>
      <sz val="11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33">
    <xf numFmtId="0" fontId="0" fillId="0" borderId="0"/>
    <xf numFmtId="0" fontId="7" fillId="0" borderId="0"/>
    <xf numFmtId="44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43">
    <xf numFmtId="0" fontId="0" fillId="0" borderId="0" xfId="0"/>
    <xf numFmtId="0" fontId="9" fillId="0" borderId="0" xfId="0" applyFont="1"/>
    <xf numFmtId="0" fontId="9" fillId="2" borderId="0" xfId="0" applyFont="1" applyFill="1"/>
    <xf numFmtId="0" fontId="10" fillId="2" borderId="0" xfId="0" applyFont="1" applyFill="1"/>
    <xf numFmtId="164" fontId="10" fillId="2" borderId="0" xfId="0" applyNumberFormat="1" applyFont="1" applyFill="1" applyAlignment="1">
      <alignment horizontal="center"/>
    </xf>
    <xf numFmtId="164" fontId="9" fillId="2" borderId="0" xfId="0" applyNumberFormat="1" applyFont="1" applyFill="1"/>
    <xf numFmtId="0" fontId="9" fillId="2" borderId="1" xfId="0" applyFont="1" applyFill="1" applyBorder="1" applyAlignment="1">
      <alignment horizontal="center"/>
    </xf>
    <xf numFmtId="0" fontId="12" fillId="0" borderId="0" xfId="0" applyFont="1" applyAlignment="1">
      <alignment horizontal="center" vertical="top"/>
    </xf>
    <xf numFmtId="14" fontId="12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right" vertical="top"/>
    </xf>
    <xf numFmtId="0" fontId="12" fillId="0" borderId="0" xfId="0" applyFont="1" applyAlignment="1">
      <alignment vertical="top"/>
    </xf>
    <xf numFmtId="0" fontId="12" fillId="3" borderId="0" xfId="0" applyFont="1" applyFill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0" fontId="12" fillId="3" borderId="0" xfId="0" applyFont="1" applyFill="1" applyAlignment="1">
      <alignment vertical="top"/>
    </xf>
    <xf numFmtId="0" fontId="12" fillId="0" borderId="0" xfId="0" applyFont="1" applyAlignment="1">
      <alignment horizontal="left" vertical="top"/>
    </xf>
    <xf numFmtId="14" fontId="17" fillId="3" borderId="1" xfId="0" applyNumberFormat="1" applyFont="1" applyFill="1" applyBorder="1" applyAlignment="1">
      <alignment horizontal="center" vertical="top"/>
    </xf>
    <xf numFmtId="0" fontId="17" fillId="3" borderId="1" xfId="0" applyFont="1" applyFill="1" applyBorder="1" applyAlignment="1">
      <alignment horizontal="center" vertical="top"/>
    </xf>
    <xf numFmtId="0" fontId="22" fillId="3" borderId="1" xfId="0" applyFont="1" applyFill="1" applyBorder="1" applyAlignment="1">
      <alignment horizontal="center" vertical="top"/>
    </xf>
    <xf numFmtId="0" fontId="17" fillId="3" borderId="0" xfId="0" applyFont="1" applyFill="1" applyAlignment="1">
      <alignment vertical="top"/>
    </xf>
    <xf numFmtId="0" fontId="22" fillId="3" borderId="0" xfId="0" applyFont="1" applyFill="1" applyAlignment="1">
      <alignment horizontal="right" vertical="top"/>
    </xf>
    <xf numFmtId="0" fontId="21" fillId="3" borderId="0" xfId="0" applyFont="1" applyFill="1" applyAlignment="1">
      <alignment horizontal="center" vertical="top"/>
    </xf>
    <xf numFmtId="0" fontId="17" fillId="3" borderId="0" xfId="0" applyFont="1" applyFill="1" applyAlignment="1">
      <alignment horizontal="center" vertical="top"/>
    </xf>
    <xf numFmtId="14" fontId="17" fillId="3" borderId="0" xfId="0" applyNumberFormat="1" applyFont="1" applyFill="1" applyAlignment="1">
      <alignment horizontal="center" vertical="top"/>
    </xf>
    <xf numFmtId="0" fontId="22" fillId="3" borderId="0" xfId="0" applyFont="1" applyFill="1" applyAlignment="1">
      <alignment horizontal="center" vertical="top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center" vertical="top"/>
    </xf>
    <xf numFmtId="0" fontId="19" fillId="4" borderId="2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top"/>
    </xf>
    <xf numFmtId="16" fontId="17" fillId="3" borderId="22" xfId="0" applyNumberFormat="1" applyFont="1" applyFill="1" applyBorder="1" applyAlignment="1">
      <alignment horizontal="center" vertical="top"/>
    </xf>
    <xf numFmtId="0" fontId="17" fillId="3" borderId="22" xfId="0" applyFont="1" applyFill="1" applyBorder="1" applyAlignment="1">
      <alignment horizontal="center" vertical="top"/>
    </xf>
    <xf numFmtId="14" fontId="17" fillId="3" borderId="22" xfId="0" applyNumberFormat="1" applyFont="1" applyFill="1" applyBorder="1" applyAlignment="1">
      <alignment horizontal="center" vertical="top"/>
    </xf>
    <xf numFmtId="0" fontId="17" fillId="3" borderId="9" xfId="0" applyFont="1" applyFill="1" applyBorder="1" applyAlignment="1">
      <alignment horizontal="center" vertical="top"/>
    </xf>
    <xf numFmtId="0" fontId="17" fillId="3" borderId="10" xfId="0" applyFont="1" applyFill="1" applyBorder="1" applyAlignment="1">
      <alignment horizontal="center" vertical="top"/>
    </xf>
    <xf numFmtId="14" fontId="17" fillId="3" borderId="10" xfId="0" applyNumberFormat="1" applyFont="1" applyFill="1" applyBorder="1" applyAlignment="1">
      <alignment horizontal="center" vertical="top"/>
    </xf>
    <xf numFmtId="0" fontId="17" fillId="3" borderId="23" xfId="0" applyFont="1" applyFill="1" applyBorder="1" applyAlignment="1">
      <alignment horizontal="center" vertical="top"/>
    </xf>
    <xf numFmtId="0" fontId="17" fillId="3" borderId="11" xfId="0" applyFont="1" applyFill="1" applyBorder="1" applyAlignment="1">
      <alignment horizontal="center" vertical="top"/>
    </xf>
    <xf numFmtId="0" fontId="17" fillId="3" borderId="20" xfId="0" applyFont="1" applyFill="1" applyBorder="1" applyAlignment="1">
      <alignment horizontal="center" vertical="top"/>
    </xf>
    <xf numFmtId="0" fontId="17" fillId="3" borderId="25" xfId="0" applyFont="1" applyFill="1" applyBorder="1" applyAlignment="1">
      <alignment horizontal="center" vertical="top"/>
    </xf>
    <xf numFmtId="16" fontId="17" fillId="3" borderId="26" xfId="0" applyNumberFormat="1" applyFont="1" applyFill="1" applyBorder="1" applyAlignment="1">
      <alignment horizontal="center" vertical="top"/>
    </xf>
    <xf numFmtId="0" fontId="17" fillId="3" borderId="26" xfId="0" applyFont="1" applyFill="1" applyBorder="1" applyAlignment="1">
      <alignment horizontal="center" vertical="top"/>
    </xf>
    <xf numFmtId="14" fontId="17" fillId="3" borderId="26" xfId="0" applyNumberFormat="1" applyFont="1" applyFill="1" applyBorder="1" applyAlignment="1">
      <alignment horizontal="center" vertical="top"/>
    </xf>
    <xf numFmtId="0" fontId="17" fillId="3" borderId="7" xfId="0" applyFont="1" applyFill="1" applyBorder="1" applyAlignment="1">
      <alignment horizontal="center" vertical="top"/>
    </xf>
    <xf numFmtId="0" fontId="17" fillId="3" borderId="8" xfId="0" applyFont="1" applyFill="1" applyBorder="1" applyAlignment="1">
      <alignment horizontal="center" vertical="top"/>
    </xf>
    <xf numFmtId="0" fontId="17" fillId="3" borderId="27" xfId="0" applyFont="1" applyFill="1" applyBorder="1" applyAlignment="1">
      <alignment horizontal="center" vertical="top"/>
    </xf>
    <xf numFmtId="0" fontId="17" fillId="3" borderId="24" xfId="0" applyFont="1" applyFill="1" applyBorder="1" applyAlignment="1">
      <alignment horizontal="center" vertical="top"/>
    </xf>
    <xf numFmtId="0" fontId="17" fillId="0" borderId="0" xfId="0" applyFont="1" applyAlignment="1">
      <alignment horizontal="center" vertical="top"/>
    </xf>
    <xf numFmtId="14" fontId="17" fillId="0" borderId="0" xfId="0" applyNumberFormat="1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right" vertical="top"/>
    </xf>
    <xf numFmtId="0" fontId="12" fillId="2" borderId="0" xfId="0" applyFont="1" applyFill="1" applyAlignment="1">
      <alignment horizontal="center" vertical="top"/>
    </xf>
    <xf numFmtId="14" fontId="12" fillId="2" borderId="0" xfId="0" applyNumberFormat="1" applyFont="1" applyFill="1" applyAlignment="1">
      <alignment horizontal="center" vertical="top"/>
    </xf>
    <xf numFmtId="0" fontId="22" fillId="3" borderId="10" xfId="0" applyFont="1" applyFill="1" applyBorder="1" applyAlignment="1">
      <alignment horizontal="center" vertical="top"/>
    </xf>
    <xf numFmtId="0" fontId="13" fillId="2" borderId="0" xfId="0" applyFont="1" applyFill="1" applyAlignment="1">
      <alignment horizontal="center" vertical="top"/>
    </xf>
    <xf numFmtId="0" fontId="13" fillId="2" borderId="0" xfId="0" applyFont="1" applyFill="1" applyAlignment="1">
      <alignment horizontal="right"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2" fillId="2" borderId="20" xfId="0" applyFont="1" applyFill="1" applyBorder="1" applyAlignment="1">
      <alignment horizontal="center" vertical="top"/>
    </xf>
    <xf numFmtId="0" fontId="11" fillId="4" borderId="31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 wrapText="1"/>
    </xf>
    <xf numFmtId="0" fontId="11" fillId="4" borderId="33" xfId="0" applyFont="1" applyFill="1" applyBorder="1" applyAlignment="1">
      <alignment horizontal="center" vertical="center" wrapText="1"/>
    </xf>
    <xf numFmtId="44" fontId="12" fillId="0" borderId="0" xfId="2" applyFont="1" applyFill="1" applyAlignment="1">
      <alignment vertical="top"/>
    </xf>
    <xf numFmtId="44" fontId="12" fillId="0" borderId="0" xfId="0" applyNumberFormat="1" applyFont="1" applyAlignment="1">
      <alignment vertical="top"/>
    </xf>
    <xf numFmtId="0" fontId="12" fillId="0" borderId="1" xfId="0" applyFont="1" applyBorder="1" applyAlignment="1">
      <alignment horizontal="center" vertical="top"/>
    </xf>
    <xf numFmtId="166" fontId="9" fillId="2" borderId="0" xfId="0" applyNumberFormat="1" applyFont="1" applyFill="1"/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" fontId="12" fillId="0" borderId="2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1" fillId="0" borderId="7" xfId="3" applyFont="1" applyBorder="1"/>
    <xf numFmtId="0" fontId="25" fillId="0" borderId="0" xfId="0" applyFont="1" applyAlignment="1">
      <alignment horizontal="right" vertical="top"/>
    </xf>
    <xf numFmtId="16" fontId="12" fillId="0" borderId="1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top"/>
    </xf>
    <xf numFmtId="14" fontId="12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top"/>
    </xf>
    <xf numFmtId="165" fontId="26" fillId="2" borderId="2" xfId="0" applyNumberFormat="1" applyFont="1" applyFill="1" applyBorder="1" applyAlignment="1">
      <alignment horizontal="center"/>
    </xf>
    <xf numFmtId="165" fontId="26" fillId="2" borderId="1" xfId="0" applyNumberFormat="1" applyFont="1" applyFill="1" applyBorder="1" applyAlignment="1">
      <alignment horizontal="center"/>
    </xf>
    <xf numFmtId="164" fontId="26" fillId="2" borderId="1" xfId="0" applyNumberFormat="1" applyFont="1" applyFill="1" applyBorder="1" applyAlignment="1">
      <alignment horizontal="center"/>
    </xf>
    <xf numFmtId="166" fontId="26" fillId="2" borderId="1" xfId="0" applyNumberFormat="1" applyFont="1" applyFill="1" applyBorder="1" applyAlignment="1">
      <alignment horizontal="center"/>
    </xf>
    <xf numFmtId="164" fontId="26" fillId="0" borderId="1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top"/>
    </xf>
    <xf numFmtId="0" fontId="14" fillId="4" borderId="10" xfId="0" applyFont="1" applyFill="1" applyBorder="1" applyAlignment="1">
      <alignment horizontal="center" vertical="center" wrapText="1"/>
    </xf>
    <xf numFmtId="167" fontId="26" fillId="0" borderId="2" xfId="0" applyNumberFormat="1" applyFont="1" applyBorder="1" applyAlignment="1">
      <alignment horizontal="center"/>
    </xf>
    <xf numFmtId="167" fontId="26" fillId="0" borderId="1" xfId="0" applyNumberFormat="1" applyFont="1" applyBorder="1" applyAlignment="1">
      <alignment horizontal="center"/>
    </xf>
    <xf numFmtId="166" fontId="26" fillId="0" borderId="1" xfId="0" applyNumberFormat="1" applyFont="1" applyBorder="1" applyAlignment="1">
      <alignment horizontal="center"/>
    </xf>
    <xf numFmtId="16" fontId="12" fillId="0" borderId="1" xfId="0" applyNumberFormat="1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6" fontId="12" fillId="0" borderId="14" xfId="0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" fontId="12" fillId="0" borderId="10" xfId="0" applyNumberFormat="1" applyFont="1" applyBorder="1" applyAlignment="1">
      <alignment horizontal="center" vertical="center"/>
    </xf>
    <xf numFmtId="43" fontId="26" fillId="2" borderId="0" xfId="32" applyFont="1" applyFill="1" applyAlignment="1">
      <alignment horizontal="center"/>
    </xf>
    <xf numFmtId="0" fontId="12" fillId="0" borderId="21" xfId="0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27" fillId="5" borderId="1" xfId="0" applyFont="1" applyFill="1" applyBorder="1"/>
    <xf numFmtId="164" fontId="28" fillId="5" borderId="1" xfId="2" applyNumberFormat="1" applyFont="1" applyFill="1" applyBorder="1" applyAlignment="1">
      <alignment horizontal="center"/>
    </xf>
    <xf numFmtId="164" fontId="27" fillId="5" borderId="1" xfId="2" applyNumberFormat="1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 vertical="center" wrapText="1"/>
    </xf>
    <xf numFmtId="0" fontId="14" fillId="4" borderId="39" xfId="0" applyFont="1" applyFill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top"/>
    </xf>
    <xf numFmtId="16" fontId="12" fillId="0" borderId="3" xfId="0" applyNumberFormat="1" applyFont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top"/>
    </xf>
    <xf numFmtId="0" fontId="14" fillId="4" borderId="34" xfId="0" applyFont="1" applyFill="1" applyBorder="1" applyAlignment="1">
      <alignment horizontal="center" vertical="top"/>
    </xf>
    <xf numFmtId="0" fontId="14" fillId="4" borderId="19" xfId="0" applyFont="1" applyFill="1" applyBorder="1" applyAlignment="1">
      <alignment horizontal="center" vertical="top"/>
    </xf>
    <xf numFmtId="0" fontId="14" fillId="4" borderId="21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36" xfId="0" applyFont="1" applyFill="1" applyBorder="1" applyAlignment="1">
      <alignment horizontal="center" vertical="center" wrapText="1"/>
    </xf>
    <xf numFmtId="0" fontId="14" fillId="4" borderId="37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5" fillId="4" borderId="38" xfId="0" applyFont="1" applyFill="1" applyBorder="1" applyAlignment="1">
      <alignment horizontal="center" vertical="center" wrapText="1"/>
    </xf>
    <xf numFmtId="0" fontId="15" fillId="4" borderId="40" xfId="0" applyFont="1" applyFill="1" applyBorder="1" applyAlignment="1">
      <alignment horizontal="center" vertical="center" wrapText="1"/>
    </xf>
    <xf numFmtId="0" fontId="15" fillId="4" borderId="41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top"/>
    </xf>
    <xf numFmtId="0" fontId="19" fillId="4" borderId="2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0" fillId="4" borderId="22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7" fillId="4" borderId="13" xfId="0" applyFont="1" applyFill="1" applyBorder="1"/>
    <xf numFmtId="0" fontId="20" fillId="4" borderId="17" xfId="0" applyFont="1" applyFill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 wrapText="1"/>
    </xf>
    <xf numFmtId="0" fontId="20" fillId="4" borderId="29" xfId="0" applyFont="1" applyFill="1" applyBorder="1" applyAlignment="1">
      <alignment horizontal="center" vertical="center" wrapText="1"/>
    </xf>
    <xf numFmtId="0" fontId="20" fillId="4" borderId="30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</cellXfs>
  <cellStyles count="33">
    <cellStyle name="Millares" xfId="32" builtinId="3"/>
    <cellStyle name="Millares 2" xfId="4" xr:uid="{00000000-0005-0000-0000-000001000000}"/>
    <cellStyle name="Millares 2 2" xfId="10" xr:uid="{00000000-0005-0000-0000-000002000000}"/>
    <cellStyle name="Millares 2 3" xfId="15" xr:uid="{00000000-0005-0000-0000-000003000000}"/>
    <cellStyle name="Millares 2 4" xfId="20" xr:uid="{00000000-0005-0000-0000-000004000000}"/>
    <cellStyle name="Millares 2 5" xfId="25" xr:uid="{00000000-0005-0000-0000-000005000000}"/>
    <cellStyle name="Millares 2 6" xfId="30" xr:uid="{00000000-0005-0000-0000-000006000000}"/>
    <cellStyle name="Millares 3" xfId="8" xr:uid="{00000000-0005-0000-0000-000007000000}"/>
    <cellStyle name="Millares 4" xfId="13" xr:uid="{00000000-0005-0000-0000-000008000000}"/>
    <cellStyle name="Millares 5" xfId="18" xr:uid="{00000000-0005-0000-0000-000009000000}"/>
    <cellStyle name="Millares 6" xfId="23" xr:uid="{00000000-0005-0000-0000-00000A000000}"/>
    <cellStyle name="Millares 7" xfId="28" xr:uid="{00000000-0005-0000-0000-00000B000000}"/>
    <cellStyle name="Moneda" xfId="2" builtinId="4"/>
    <cellStyle name="Moneda 2" xfId="5" xr:uid="{00000000-0005-0000-0000-00000D000000}"/>
    <cellStyle name="Moneda 2 2" xfId="11" xr:uid="{00000000-0005-0000-0000-00000E000000}"/>
    <cellStyle name="Moneda 2 3" xfId="16" xr:uid="{00000000-0005-0000-0000-00000F000000}"/>
    <cellStyle name="Moneda 2 4" xfId="21" xr:uid="{00000000-0005-0000-0000-000010000000}"/>
    <cellStyle name="Moneda 2 5" xfId="26" xr:uid="{00000000-0005-0000-0000-000011000000}"/>
    <cellStyle name="Moneda 2 6" xfId="31" xr:uid="{00000000-0005-0000-0000-000012000000}"/>
    <cellStyle name="Moneda 3" xfId="6" xr:uid="{00000000-0005-0000-0000-000013000000}"/>
    <cellStyle name="Moneda 4" xfId="9" xr:uid="{00000000-0005-0000-0000-000014000000}"/>
    <cellStyle name="Moneda 5" xfId="14" xr:uid="{00000000-0005-0000-0000-000015000000}"/>
    <cellStyle name="Moneda 6" xfId="19" xr:uid="{00000000-0005-0000-0000-000016000000}"/>
    <cellStyle name="Moneda 7" xfId="24" xr:uid="{00000000-0005-0000-0000-000017000000}"/>
    <cellStyle name="Moneda 8" xfId="29" xr:uid="{00000000-0005-0000-0000-000018000000}"/>
    <cellStyle name="Normal" xfId="0" builtinId="0"/>
    <cellStyle name="Normal 2" xfId="3" xr:uid="{00000000-0005-0000-0000-00001A000000}"/>
    <cellStyle name="Normal 3" xfId="1" xr:uid="{00000000-0005-0000-0000-00001B000000}"/>
    <cellStyle name="Normal 4" xfId="7" xr:uid="{00000000-0005-0000-0000-00001C000000}"/>
    <cellStyle name="Normal 5" xfId="12" xr:uid="{00000000-0005-0000-0000-00001D000000}"/>
    <cellStyle name="Normal 6" xfId="17" xr:uid="{00000000-0005-0000-0000-00001E000000}"/>
    <cellStyle name="Normal 7" xfId="22" xr:uid="{00000000-0005-0000-0000-00001F000000}"/>
    <cellStyle name="Normal 8" xfId="27" xr:uid="{00000000-0005-0000-0000-00002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66"/>
      <color rgb="FFFFFF99"/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O67"/>
  <sheetViews>
    <sheetView showGridLines="0" tabSelected="1" zoomScale="110" zoomScaleNormal="110" zoomScalePageLayoutView="90" workbookViewId="0">
      <selection activeCell="J46" sqref="J46"/>
    </sheetView>
  </sheetViews>
  <sheetFormatPr baseColWidth="10" defaultColWidth="10.6640625" defaultRowHeight="12" x14ac:dyDescent="0.15"/>
  <cols>
    <col min="1" max="1" width="4.6640625" style="10" customWidth="1"/>
    <col min="2" max="2" width="6.5" style="10" customWidth="1"/>
    <col min="3" max="3" width="10" style="10" bestFit="1" customWidth="1"/>
    <col min="4" max="4" width="20.1640625" style="10" customWidth="1"/>
    <col min="5" max="5" width="10.1640625" style="10" customWidth="1"/>
    <col min="6" max="6" width="16.1640625" style="10" customWidth="1"/>
    <col min="7" max="7" width="25.33203125" style="10" customWidth="1"/>
    <col min="8" max="8" width="10.6640625" style="10" customWidth="1"/>
    <col min="9" max="9" width="11.1640625" style="10" customWidth="1"/>
    <col min="10" max="10" width="12.83203125" style="10" customWidth="1"/>
    <col min="11" max="11" width="11.33203125" style="10" customWidth="1"/>
    <col min="12" max="14" width="10.1640625" style="10" customWidth="1"/>
    <col min="15" max="15" width="15.33203125" style="10" customWidth="1"/>
    <col min="16" max="16" width="6.6640625" style="10" customWidth="1"/>
    <col min="17" max="16384" width="10.6640625" style="10"/>
  </cols>
  <sheetData>
    <row r="1" spans="3:15" ht="14.25" customHeight="1" thickBot="1" x14ac:dyDescent="0.2">
      <c r="C1" s="7"/>
      <c r="D1" s="7"/>
      <c r="E1" s="7"/>
      <c r="F1" s="7"/>
      <c r="G1" s="7"/>
      <c r="H1" s="8"/>
      <c r="I1" s="7"/>
      <c r="J1" s="7"/>
      <c r="L1" s="9"/>
      <c r="M1" s="9"/>
      <c r="N1" s="9"/>
      <c r="O1" s="7"/>
    </row>
    <row r="2" spans="3:15" ht="17.25" customHeight="1" thickBot="1" x14ac:dyDescent="0.2">
      <c r="C2" s="107" t="s">
        <v>55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9"/>
    </row>
    <row r="3" spans="3:15" ht="26" x14ac:dyDescent="0.15">
      <c r="C3" s="110" t="s">
        <v>5</v>
      </c>
      <c r="D3" s="112" t="s">
        <v>7</v>
      </c>
      <c r="E3" s="69" t="s">
        <v>8</v>
      </c>
      <c r="F3" s="69" t="s">
        <v>0</v>
      </c>
      <c r="G3" s="112" t="s">
        <v>12</v>
      </c>
      <c r="H3" s="112" t="s">
        <v>31</v>
      </c>
      <c r="I3" s="112" t="s">
        <v>41</v>
      </c>
      <c r="J3" s="119" t="s">
        <v>33</v>
      </c>
      <c r="K3" s="120"/>
      <c r="L3" s="120"/>
      <c r="M3" s="121"/>
      <c r="N3" s="117" t="s">
        <v>4</v>
      </c>
      <c r="O3" s="115" t="s">
        <v>51</v>
      </c>
    </row>
    <row r="4" spans="3:15" ht="26.25" customHeight="1" thickBot="1" x14ac:dyDescent="0.2">
      <c r="C4" s="111"/>
      <c r="D4" s="113"/>
      <c r="E4" s="103" t="s">
        <v>1</v>
      </c>
      <c r="F4" s="103" t="s">
        <v>6</v>
      </c>
      <c r="G4" s="114" t="s">
        <v>9</v>
      </c>
      <c r="H4" s="114" t="s">
        <v>32</v>
      </c>
      <c r="I4" s="114" t="s">
        <v>21</v>
      </c>
      <c r="J4" s="85" t="s">
        <v>22</v>
      </c>
      <c r="K4" s="85" t="s">
        <v>34</v>
      </c>
      <c r="L4" s="85" t="s">
        <v>35</v>
      </c>
      <c r="M4" s="104" t="s">
        <v>54</v>
      </c>
      <c r="N4" s="118"/>
      <c r="O4" s="116"/>
    </row>
    <row r="5" spans="3:15" x14ac:dyDescent="0.15">
      <c r="C5" s="97"/>
      <c r="D5" s="65"/>
      <c r="E5" s="73"/>
      <c r="F5" s="63"/>
      <c r="G5" s="84"/>
      <c r="H5" s="70"/>
      <c r="I5" s="63"/>
      <c r="J5" s="63"/>
      <c r="K5" s="65"/>
      <c r="L5" s="63"/>
      <c r="M5" s="105"/>
      <c r="N5" s="68"/>
      <c r="O5" s="99"/>
    </row>
    <row r="6" spans="3:15" x14ac:dyDescent="0.15">
      <c r="C6" s="83"/>
      <c r="D6" s="66"/>
      <c r="E6" s="67"/>
      <c r="F6" s="63"/>
      <c r="G6" s="84"/>
      <c r="H6" s="70"/>
      <c r="I6" s="63"/>
      <c r="J6" s="63"/>
      <c r="K6" s="65"/>
      <c r="L6" s="63"/>
      <c r="M6" s="105"/>
      <c r="N6" s="68"/>
      <c r="O6" s="99"/>
    </row>
    <row r="7" spans="3:15" x14ac:dyDescent="0.15">
      <c r="C7" s="83"/>
      <c r="D7" s="66"/>
      <c r="E7" s="67"/>
      <c r="F7" s="63"/>
      <c r="G7" s="84"/>
      <c r="H7" s="70"/>
      <c r="I7" s="63"/>
      <c r="J7" s="63"/>
      <c r="K7" s="65"/>
      <c r="L7" s="63"/>
      <c r="M7" s="105"/>
      <c r="N7" s="68"/>
      <c r="O7" s="99"/>
    </row>
    <row r="8" spans="3:15" x14ac:dyDescent="0.15">
      <c r="C8" s="83"/>
      <c r="D8" s="66"/>
      <c r="E8" s="67"/>
      <c r="F8" s="63"/>
      <c r="G8" s="84"/>
      <c r="H8" s="70"/>
      <c r="I8" s="63"/>
      <c r="J8" s="63"/>
      <c r="K8" s="65"/>
      <c r="L8" s="63"/>
      <c r="M8" s="105"/>
      <c r="N8" s="68"/>
      <c r="O8" s="99"/>
    </row>
    <row r="9" spans="3:15" x14ac:dyDescent="0.15">
      <c r="C9" s="83"/>
      <c r="D9" s="66"/>
      <c r="E9" s="67"/>
      <c r="F9" s="63"/>
      <c r="G9" s="84"/>
      <c r="H9" s="70"/>
      <c r="I9" s="63"/>
      <c r="J9" s="63"/>
      <c r="K9" s="65"/>
      <c r="L9" s="63"/>
      <c r="M9" s="105"/>
      <c r="N9" s="68"/>
      <c r="O9" s="99"/>
    </row>
    <row r="10" spans="3:15" x14ac:dyDescent="0.15">
      <c r="C10" s="83"/>
      <c r="D10" s="66"/>
      <c r="E10" s="67"/>
      <c r="F10" s="63"/>
      <c r="G10" s="84"/>
      <c r="H10" s="70"/>
      <c r="I10" s="63"/>
      <c r="J10" s="63"/>
      <c r="K10" s="65"/>
      <c r="L10" s="63"/>
      <c r="M10" s="105"/>
      <c r="N10" s="68"/>
      <c r="O10" s="99"/>
    </row>
    <row r="11" spans="3:15" x14ac:dyDescent="0.15">
      <c r="C11" s="83"/>
      <c r="D11" s="66"/>
      <c r="E11" s="67"/>
      <c r="F11" s="63"/>
      <c r="G11" s="84"/>
      <c r="H11" s="70"/>
      <c r="I11" s="63"/>
      <c r="J11" s="63"/>
      <c r="K11" s="65"/>
      <c r="L11" s="63"/>
      <c r="M11" s="105"/>
      <c r="N11" s="68"/>
      <c r="O11" s="99"/>
    </row>
    <row r="12" spans="3:15" x14ac:dyDescent="0.15">
      <c r="C12" s="83"/>
      <c r="D12" s="66"/>
      <c r="E12" s="67"/>
      <c r="F12" s="63"/>
      <c r="G12" s="84"/>
      <c r="H12" s="70"/>
      <c r="I12" s="63"/>
      <c r="J12" s="63"/>
      <c r="K12" s="65"/>
      <c r="L12" s="63"/>
      <c r="M12" s="105"/>
      <c r="N12" s="68"/>
      <c r="O12" s="99"/>
    </row>
    <row r="13" spans="3:15" x14ac:dyDescent="0.15">
      <c r="C13" s="83"/>
      <c r="D13" s="66"/>
      <c r="E13" s="67"/>
      <c r="F13" s="63"/>
      <c r="G13" s="84"/>
      <c r="H13" s="70"/>
      <c r="I13" s="63"/>
      <c r="J13" s="63"/>
      <c r="K13" s="65"/>
      <c r="L13" s="63"/>
      <c r="M13" s="105"/>
      <c r="N13" s="68"/>
      <c r="O13" s="99"/>
    </row>
    <row r="14" spans="3:15" x14ac:dyDescent="0.15">
      <c r="C14" s="83"/>
      <c r="D14" s="66"/>
      <c r="E14" s="67"/>
      <c r="F14" s="63"/>
      <c r="G14" s="84"/>
      <c r="H14" s="70"/>
      <c r="I14" s="63"/>
      <c r="J14" s="63"/>
      <c r="K14" s="65"/>
      <c r="L14" s="63"/>
      <c r="M14" s="105"/>
      <c r="N14" s="68"/>
      <c r="O14" s="99"/>
    </row>
    <row r="15" spans="3:15" x14ac:dyDescent="0.15">
      <c r="C15" s="83"/>
      <c r="D15" s="63"/>
      <c r="E15" s="89"/>
      <c r="F15" s="63"/>
      <c r="G15" s="63"/>
      <c r="H15" s="77"/>
      <c r="I15" s="63"/>
      <c r="J15" s="63"/>
      <c r="K15" s="63"/>
      <c r="L15" s="63"/>
      <c r="M15" s="105"/>
      <c r="N15" s="68"/>
      <c r="O15" s="99"/>
    </row>
    <row r="16" spans="3:15" x14ac:dyDescent="0.15">
      <c r="C16" s="83"/>
      <c r="D16" s="63"/>
      <c r="E16" s="89"/>
      <c r="F16" s="63"/>
      <c r="G16" s="63"/>
      <c r="H16" s="77"/>
      <c r="I16" s="63"/>
      <c r="J16" s="63"/>
      <c r="K16" s="63"/>
      <c r="L16" s="63"/>
      <c r="M16" s="105"/>
      <c r="N16" s="68"/>
      <c r="O16" s="99"/>
    </row>
    <row r="17" spans="3:15" x14ac:dyDescent="0.15">
      <c r="C17" s="83"/>
      <c r="D17" s="65"/>
      <c r="E17" s="65"/>
      <c r="F17" s="65"/>
      <c r="G17" s="65"/>
      <c r="H17" s="70"/>
      <c r="I17" s="65"/>
      <c r="J17" s="65"/>
      <c r="K17" s="65"/>
      <c r="L17" s="65"/>
      <c r="M17" s="68"/>
      <c r="N17" s="68"/>
      <c r="O17" s="99"/>
    </row>
    <row r="18" spans="3:15" x14ac:dyDescent="0.15">
      <c r="C18" s="83"/>
      <c r="D18" s="63"/>
      <c r="E18" s="89"/>
      <c r="F18" s="63"/>
      <c r="G18" s="63"/>
      <c r="H18" s="77"/>
      <c r="I18" s="63"/>
      <c r="J18" s="63"/>
      <c r="K18" s="63"/>
      <c r="L18" s="63"/>
      <c r="M18" s="105"/>
      <c r="N18" s="68"/>
      <c r="O18" s="99"/>
    </row>
    <row r="19" spans="3:15" x14ac:dyDescent="0.15">
      <c r="C19" s="83"/>
      <c r="D19" s="65"/>
      <c r="E19" s="73"/>
      <c r="F19" s="65"/>
      <c r="G19" s="65"/>
      <c r="H19" s="70"/>
      <c r="I19" s="65"/>
      <c r="J19" s="65"/>
      <c r="K19" s="63"/>
      <c r="L19" s="63"/>
      <c r="M19" s="105"/>
      <c r="N19" s="68"/>
      <c r="O19" s="99"/>
    </row>
    <row r="20" spans="3:15" x14ac:dyDescent="0.15">
      <c r="C20" s="83"/>
      <c r="D20" s="65"/>
      <c r="E20" s="73"/>
      <c r="F20" s="65"/>
      <c r="G20" s="65"/>
      <c r="H20" s="70"/>
      <c r="I20" s="65"/>
      <c r="J20" s="65"/>
      <c r="K20" s="63"/>
      <c r="L20" s="63"/>
      <c r="M20" s="105"/>
      <c r="N20" s="68"/>
      <c r="O20" s="99"/>
    </row>
    <row r="21" spans="3:15" x14ac:dyDescent="0.15">
      <c r="C21" s="83"/>
      <c r="D21" s="63"/>
      <c r="E21" s="89"/>
      <c r="F21" s="63"/>
      <c r="G21" s="63"/>
      <c r="H21" s="77"/>
      <c r="I21" s="63"/>
      <c r="J21" s="63"/>
      <c r="K21" s="63"/>
      <c r="L21" s="63"/>
      <c r="M21" s="63"/>
      <c r="N21" s="68"/>
      <c r="O21" s="99"/>
    </row>
    <row r="22" spans="3:15" x14ac:dyDescent="0.15">
      <c r="C22" s="83"/>
      <c r="D22" s="63"/>
      <c r="E22" s="89"/>
      <c r="F22" s="63"/>
      <c r="G22" s="63"/>
      <c r="H22" s="77"/>
      <c r="I22" s="63"/>
      <c r="J22" s="63"/>
      <c r="K22" s="63"/>
      <c r="L22" s="63"/>
      <c r="M22" s="63"/>
      <c r="N22" s="68"/>
      <c r="O22" s="99"/>
    </row>
    <row r="23" spans="3:15" x14ac:dyDescent="0.15">
      <c r="C23" s="83"/>
      <c r="D23" s="63"/>
      <c r="E23" s="89"/>
      <c r="F23" s="63"/>
      <c r="G23" s="63"/>
      <c r="H23" s="77"/>
      <c r="I23" s="63"/>
      <c r="J23" s="63"/>
      <c r="K23" s="63"/>
      <c r="L23" s="63"/>
      <c r="M23" s="105"/>
      <c r="N23" s="68"/>
      <c r="O23" s="99"/>
    </row>
    <row r="24" spans="3:15" x14ac:dyDescent="0.15">
      <c r="C24" s="83"/>
      <c r="D24" s="63"/>
      <c r="E24" s="89"/>
      <c r="F24" s="63"/>
      <c r="G24" s="63"/>
      <c r="H24" s="77"/>
      <c r="I24" s="63"/>
      <c r="J24" s="63"/>
      <c r="K24" s="63"/>
      <c r="L24" s="63"/>
      <c r="M24" s="105"/>
      <c r="N24" s="68"/>
      <c r="O24" s="99"/>
    </row>
    <row r="25" spans="3:15" x14ac:dyDescent="0.15">
      <c r="C25" s="83"/>
      <c r="D25" s="63"/>
      <c r="E25" s="89"/>
      <c r="F25" s="63"/>
      <c r="G25" s="63"/>
      <c r="H25" s="77"/>
      <c r="I25" s="63"/>
      <c r="J25" s="63"/>
      <c r="K25" s="63"/>
      <c r="L25" s="63"/>
      <c r="M25" s="105"/>
      <c r="N25" s="68"/>
      <c r="O25" s="99"/>
    </row>
    <row r="26" spans="3:15" x14ac:dyDescent="0.15">
      <c r="C26" s="83"/>
      <c r="D26" s="63"/>
      <c r="E26" s="89"/>
      <c r="F26" s="63"/>
      <c r="G26" s="63"/>
      <c r="H26" s="77"/>
      <c r="I26" s="63"/>
      <c r="J26" s="63"/>
      <c r="K26" s="63"/>
      <c r="L26" s="63"/>
      <c r="M26" s="105"/>
      <c r="N26" s="68"/>
      <c r="O26" s="99"/>
    </row>
    <row r="27" spans="3:15" x14ac:dyDescent="0.15">
      <c r="C27" s="83"/>
      <c r="D27" s="63"/>
      <c r="E27" s="89"/>
      <c r="F27" s="63"/>
      <c r="G27" s="63"/>
      <c r="H27" s="77"/>
      <c r="I27" s="63"/>
      <c r="J27" s="63"/>
      <c r="K27" s="63"/>
      <c r="L27" s="63"/>
      <c r="M27" s="105"/>
      <c r="N27" s="68"/>
      <c r="O27" s="99"/>
    </row>
    <row r="28" spans="3:15" x14ac:dyDescent="0.15">
      <c r="C28" s="83"/>
      <c r="D28" s="66"/>
      <c r="E28" s="67"/>
      <c r="F28" s="63"/>
      <c r="G28" s="66"/>
      <c r="H28" s="70"/>
      <c r="I28" s="63"/>
      <c r="J28" s="63"/>
      <c r="K28" s="65"/>
      <c r="L28" s="63"/>
      <c r="M28" s="105"/>
      <c r="N28" s="68"/>
      <c r="O28" s="99"/>
    </row>
    <row r="29" spans="3:15" x14ac:dyDescent="0.15">
      <c r="C29" s="83"/>
      <c r="D29" s="66"/>
      <c r="E29" s="67"/>
      <c r="F29" s="63"/>
      <c r="G29" s="63"/>
      <c r="H29" s="70"/>
      <c r="I29" s="65"/>
      <c r="J29" s="63"/>
      <c r="K29" s="65"/>
      <c r="L29" s="63"/>
      <c r="M29" s="105"/>
      <c r="N29" s="68"/>
      <c r="O29" s="99"/>
    </row>
    <row r="30" spans="3:15" x14ac:dyDescent="0.15">
      <c r="C30" s="83"/>
      <c r="D30" s="65"/>
      <c r="E30" s="73"/>
      <c r="F30" s="63"/>
      <c r="G30" s="63"/>
      <c r="H30" s="70"/>
      <c r="I30" s="63"/>
      <c r="J30" s="63"/>
      <c r="K30" s="65"/>
      <c r="L30" s="63"/>
      <c r="M30" s="105"/>
      <c r="N30" s="68"/>
      <c r="O30" s="99"/>
    </row>
    <row r="31" spans="3:15" x14ac:dyDescent="0.15">
      <c r="C31" s="83"/>
      <c r="D31" s="65"/>
      <c r="E31" s="73"/>
      <c r="F31" s="63"/>
      <c r="G31" s="63"/>
      <c r="H31" s="70"/>
      <c r="I31" s="63"/>
      <c r="J31" s="63"/>
      <c r="K31" s="65"/>
      <c r="L31" s="63"/>
      <c r="M31" s="105"/>
      <c r="N31" s="68"/>
      <c r="O31" s="99"/>
    </row>
    <row r="32" spans="3:15" x14ac:dyDescent="0.15">
      <c r="C32" s="83"/>
      <c r="D32" s="65"/>
      <c r="E32" s="73"/>
      <c r="F32" s="65"/>
      <c r="G32" s="65"/>
      <c r="H32" s="70"/>
      <c r="I32" s="65"/>
      <c r="J32" s="65"/>
      <c r="K32" s="65"/>
      <c r="L32" s="65"/>
      <c r="M32" s="68"/>
      <c r="N32" s="68"/>
      <c r="O32" s="99"/>
    </row>
    <row r="33" spans="3:15" x14ac:dyDescent="0.15">
      <c r="C33" s="83"/>
      <c r="D33" s="65"/>
      <c r="E33" s="65"/>
      <c r="F33" s="65"/>
      <c r="G33" s="65"/>
      <c r="H33" s="70"/>
      <c r="I33" s="65"/>
      <c r="J33" s="65"/>
      <c r="K33" s="65"/>
      <c r="L33" s="65"/>
      <c r="M33" s="68"/>
      <c r="N33" s="68"/>
      <c r="O33" s="99"/>
    </row>
    <row r="34" spans="3:15" x14ac:dyDescent="0.15">
      <c r="C34" s="83"/>
      <c r="D34" s="65"/>
      <c r="E34" s="73"/>
      <c r="F34" s="65"/>
      <c r="G34" s="65"/>
      <c r="H34" s="70"/>
      <c r="I34" s="65"/>
      <c r="J34" s="65"/>
      <c r="K34" s="65"/>
      <c r="L34" s="65"/>
      <c r="M34" s="68"/>
      <c r="N34" s="68"/>
      <c r="O34" s="99"/>
    </row>
    <row r="35" spans="3:15" x14ac:dyDescent="0.15">
      <c r="C35" s="83"/>
      <c r="D35" s="65"/>
      <c r="E35" s="73"/>
      <c r="F35" s="65"/>
      <c r="G35" s="65"/>
      <c r="H35" s="70"/>
      <c r="I35" s="65"/>
      <c r="J35" s="65"/>
      <c r="K35" s="65"/>
      <c r="L35" s="65"/>
      <c r="M35" s="68"/>
      <c r="N35" s="68"/>
      <c r="O35" s="99"/>
    </row>
    <row r="36" spans="3:15" x14ac:dyDescent="0.15">
      <c r="C36" s="83"/>
      <c r="D36" s="65"/>
      <c r="E36" s="73"/>
      <c r="F36" s="65"/>
      <c r="G36" s="65"/>
      <c r="H36" s="70"/>
      <c r="I36" s="65"/>
      <c r="J36" s="65"/>
      <c r="K36" s="65"/>
      <c r="L36" s="65"/>
      <c r="M36" s="68"/>
      <c r="N36" s="68"/>
      <c r="O36" s="99"/>
    </row>
    <row r="37" spans="3:15" x14ac:dyDescent="0.15">
      <c r="C37" s="83"/>
      <c r="D37" s="65"/>
      <c r="E37" s="65"/>
      <c r="F37" s="65"/>
      <c r="G37" s="65"/>
      <c r="H37" s="70"/>
      <c r="I37" s="65"/>
      <c r="J37" s="65"/>
      <c r="K37" s="65"/>
      <c r="L37" s="65"/>
      <c r="M37" s="68"/>
      <c r="N37" s="68"/>
      <c r="O37" s="99"/>
    </row>
    <row r="38" spans="3:15" x14ac:dyDescent="0.15">
      <c r="C38" s="83"/>
      <c r="D38" s="65"/>
      <c r="E38" s="73"/>
      <c r="F38" s="65"/>
      <c r="G38" s="65"/>
      <c r="H38" s="70"/>
      <c r="I38" s="65"/>
      <c r="J38" s="65"/>
      <c r="K38" s="65"/>
      <c r="L38" s="65"/>
      <c r="M38" s="68"/>
      <c r="N38" s="68"/>
      <c r="O38" s="99"/>
    </row>
    <row r="39" spans="3:15" x14ac:dyDescent="0.15">
      <c r="C39" s="83"/>
      <c r="D39" s="65"/>
      <c r="E39" s="65"/>
      <c r="F39" s="65"/>
      <c r="G39" s="65"/>
      <c r="H39" s="70"/>
      <c r="I39" s="65"/>
      <c r="J39" s="65"/>
      <c r="K39" s="65"/>
      <c r="L39" s="65"/>
      <c r="M39" s="68"/>
      <c r="N39" s="68"/>
      <c r="O39" s="99"/>
    </row>
    <row r="40" spans="3:15" x14ac:dyDescent="0.15">
      <c r="C40" s="83"/>
      <c r="D40" s="65"/>
      <c r="E40" s="73"/>
      <c r="F40" s="65"/>
      <c r="G40" s="65"/>
      <c r="H40" s="70"/>
      <c r="I40" s="65"/>
      <c r="J40" s="65"/>
      <c r="K40" s="65"/>
      <c r="L40" s="65"/>
      <c r="M40" s="68"/>
      <c r="N40" s="68"/>
      <c r="O40" s="99"/>
    </row>
    <row r="41" spans="3:15" x14ac:dyDescent="0.15">
      <c r="C41" s="83"/>
      <c r="D41" s="65"/>
      <c r="E41" s="73"/>
      <c r="F41" s="65"/>
      <c r="G41" s="65"/>
      <c r="H41" s="70"/>
      <c r="I41" s="65"/>
      <c r="J41" s="65"/>
      <c r="K41" s="65"/>
      <c r="L41" s="65"/>
      <c r="M41" s="68"/>
      <c r="N41" s="68"/>
      <c r="O41" s="99"/>
    </row>
    <row r="42" spans="3:15" x14ac:dyDescent="0.15">
      <c r="C42" s="83"/>
      <c r="D42" s="65"/>
      <c r="E42" s="73"/>
      <c r="F42" s="65"/>
      <c r="G42" s="65"/>
      <c r="H42" s="70"/>
      <c r="I42" s="65"/>
      <c r="J42" s="65"/>
      <c r="K42" s="65"/>
      <c r="L42" s="65"/>
      <c r="M42" s="68"/>
      <c r="N42" s="68"/>
      <c r="O42" s="99"/>
    </row>
    <row r="43" spans="3:15" x14ac:dyDescent="0.15">
      <c r="C43" s="83"/>
      <c r="D43" s="65"/>
      <c r="E43" s="73"/>
      <c r="F43" s="65"/>
      <c r="G43" s="65"/>
      <c r="H43" s="70"/>
      <c r="I43" s="65"/>
      <c r="J43" s="65"/>
      <c r="K43" s="65"/>
      <c r="L43" s="65"/>
      <c r="M43" s="68"/>
      <c r="N43" s="68"/>
      <c r="O43" s="99"/>
    </row>
    <row r="44" spans="3:15" x14ac:dyDescent="0.15">
      <c r="C44" s="83"/>
      <c r="D44" s="65"/>
      <c r="E44" s="73"/>
      <c r="F44" s="65"/>
      <c r="G44" s="65"/>
      <c r="H44" s="70"/>
      <c r="I44" s="65"/>
      <c r="J44" s="65"/>
      <c r="K44" s="65"/>
      <c r="L44" s="65"/>
      <c r="M44" s="68"/>
      <c r="N44" s="68"/>
      <c r="O44" s="99"/>
    </row>
    <row r="45" spans="3:15" x14ac:dyDescent="0.15">
      <c r="C45" s="83"/>
      <c r="D45" s="65"/>
      <c r="E45" s="73"/>
      <c r="F45" s="65"/>
      <c r="G45" s="65"/>
      <c r="H45" s="70"/>
      <c r="I45" s="65"/>
      <c r="J45" s="65"/>
      <c r="K45" s="65"/>
      <c r="L45" s="65"/>
      <c r="M45" s="68"/>
      <c r="N45" s="68"/>
      <c r="O45" s="99"/>
    </row>
    <row r="46" spans="3:15" x14ac:dyDescent="0.15">
      <c r="C46" s="90"/>
      <c r="D46" s="91"/>
      <c r="E46" s="92"/>
      <c r="F46" s="94"/>
      <c r="G46" s="91"/>
      <c r="H46" s="93"/>
      <c r="I46" s="94"/>
      <c r="J46" s="94"/>
      <c r="K46" s="94"/>
      <c r="L46" s="94"/>
      <c r="M46" s="65"/>
      <c r="N46" s="68"/>
      <c r="O46" s="99"/>
    </row>
    <row r="47" spans="3:15" x14ac:dyDescent="0.15">
      <c r="C47" s="83"/>
      <c r="D47" s="65"/>
      <c r="E47" s="73"/>
      <c r="F47" s="65"/>
      <c r="G47" s="65"/>
      <c r="H47" s="70"/>
      <c r="I47" s="65"/>
      <c r="J47" s="65"/>
      <c r="K47" s="65"/>
      <c r="L47" s="65"/>
      <c r="M47" s="65"/>
      <c r="N47" s="68"/>
      <c r="O47" s="99"/>
    </row>
    <row r="48" spans="3:15" x14ac:dyDescent="0.15">
      <c r="C48" s="83"/>
      <c r="D48" s="65"/>
      <c r="E48" s="73"/>
      <c r="F48" s="65"/>
      <c r="G48" s="65"/>
      <c r="H48" s="70"/>
      <c r="I48" s="65"/>
      <c r="J48" s="65"/>
      <c r="K48" s="65"/>
      <c r="L48" s="65"/>
      <c r="M48" s="68"/>
      <c r="N48" s="68"/>
      <c r="O48" s="99"/>
    </row>
    <row r="49" spans="3:15" x14ac:dyDescent="0.15">
      <c r="C49" s="83"/>
      <c r="D49" s="94"/>
      <c r="E49" s="106"/>
      <c r="F49" s="94"/>
      <c r="G49" s="94"/>
      <c r="H49" s="93"/>
      <c r="I49" s="94"/>
      <c r="J49" s="94"/>
      <c r="K49" s="94"/>
      <c r="L49" s="94"/>
      <c r="M49" s="65"/>
      <c r="N49" s="65"/>
      <c r="O49" s="99"/>
    </row>
    <row r="50" spans="3:15" x14ac:dyDescent="0.15">
      <c r="C50" s="83"/>
      <c r="D50" s="94"/>
      <c r="E50" s="106"/>
      <c r="F50" s="94"/>
      <c r="G50" s="94"/>
      <c r="H50" s="93"/>
      <c r="I50" s="94"/>
      <c r="J50" s="94"/>
      <c r="K50" s="94"/>
      <c r="L50" s="94"/>
      <c r="M50" s="65"/>
      <c r="N50" s="65"/>
      <c r="O50" s="99"/>
    </row>
    <row r="51" spans="3:15" x14ac:dyDescent="0.15">
      <c r="C51" s="83"/>
      <c r="D51" s="94"/>
      <c r="E51" s="106"/>
      <c r="F51" s="94"/>
      <c r="G51" s="94"/>
      <c r="H51" s="93"/>
      <c r="I51" s="94"/>
      <c r="J51" s="94"/>
      <c r="K51" s="94"/>
      <c r="L51" s="94"/>
      <c r="M51" s="65"/>
      <c r="N51" s="65"/>
      <c r="O51" s="99"/>
    </row>
    <row r="52" spans="3:15" x14ac:dyDescent="0.15">
      <c r="C52" s="83"/>
      <c r="D52" s="94"/>
      <c r="E52" s="106"/>
      <c r="F52" s="94"/>
      <c r="G52" s="94"/>
      <c r="H52" s="93"/>
      <c r="I52" s="94"/>
      <c r="J52" s="94"/>
      <c r="K52" s="94"/>
      <c r="L52" s="94"/>
      <c r="M52" s="65"/>
      <c r="N52" s="65"/>
      <c r="O52" s="99"/>
    </row>
    <row r="53" spans="3:15" x14ac:dyDescent="0.15">
      <c r="C53" s="83"/>
      <c r="D53" s="94"/>
      <c r="E53" s="106"/>
      <c r="F53" s="94"/>
      <c r="G53" s="94"/>
      <c r="H53" s="93"/>
      <c r="I53" s="94"/>
      <c r="J53" s="94"/>
      <c r="K53" s="94"/>
      <c r="L53" s="94"/>
      <c r="M53" s="65"/>
      <c r="N53" s="65"/>
      <c r="O53" s="99"/>
    </row>
    <row r="54" spans="3:15" ht="13" thickBot="1" x14ac:dyDescent="0.2">
      <c r="C54" s="83"/>
      <c r="D54" s="76"/>
      <c r="E54" s="95"/>
      <c r="F54" s="74"/>
      <c r="G54" s="76"/>
      <c r="H54" s="75"/>
      <c r="I54" s="74"/>
      <c r="J54" s="74"/>
      <c r="K54" s="76"/>
      <c r="L54" s="74"/>
      <c r="M54" s="74"/>
      <c r="N54" s="74"/>
      <c r="O54" s="99"/>
    </row>
    <row r="55" spans="3:15" ht="13" thickBot="1" x14ac:dyDescent="0.2">
      <c r="C55" s="7"/>
      <c r="D55" s="7"/>
      <c r="E55" s="7"/>
      <c r="F55" s="7"/>
      <c r="G55" s="7"/>
      <c r="H55" s="8"/>
      <c r="I55" s="8"/>
      <c r="J55" s="8"/>
      <c r="L55" s="9" t="s">
        <v>56</v>
      </c>
      <c r="M55" s="9"/>
      <c r="N55" s="9"/>
      <c r="O55" s="12">
        <f>SUM(O14:O46)</f>
        <v>0</v>
      </c>
    </row>
    <row r="56" spans="3:15" ht="18" x14ac:dyDescent="0.15">
      <c r="C56" s="7"/>
      <c r="D56" s="7"/>
      <c r="E56" s="7"/>
      <c r="F56" s="7"/>
      <c r="G56" s="7"/>
      <c r="H56" s="8"/>
      <c r="L56" s="9"/>
      <c r="M56" s="9"/>
      <c r="N56" s="72">
        <f>SUBTOTAL(9,N5:N54)</f>
        <v>0</v>
      </c>
      <c r="O56" s="7"/>
    </row>
    <row r="57" spans="3:15" x14ac:dyDescent="0.15">
      <c r="E57" s="7"/>
      <c r="F57" s="7"/>
      <c r="G57" s="7"/>
      <c r="H57" s="7"/>
      <c r="I57" s="7"/>
    </row>
    <row r="58" spans="3:15" x14ac:dyDescent="0.15">
      <c r="E58" s="7"/>
      <c r="F58" s="7"/>
      <c r="G58" s="7"/>
      <c r="H58" s="7"/>
      <c r="I58" s="7"/>
    </row>
    <row r="59" spans="3:15" x14ac:dyDescent="0.15">
      <c r="E59" s="7"/>
      <c r="F59" s="7"/>
      <c r="G59" s="7"/>
      <c r="H59" s="7"/>
      <c r="I59" s="7"/>
    </row>
    <row r="60" spans="3:15" x14ac:dyDescent="0.15">
      <c r="E60" s="7"/>
      <c r="F60" s="7"/>
      <c r="G60" s="7"/>
      <c r="H60" s="7"/>
      <c r="I60" s="7"/>
    </row>
    <row r="61" spans="3:15" x14ac:dyDescent="0.15">
      <c r="E61" s="7"/>
      <c r="F61" s="7"/>
      <c r="G61" s="7"/>
      <c r="H61" s="7"/>
      <c r="I61" s="7"/>
    </row>
    <row r="62" spans="3:15" x14ac:dyDescent="0.15">
      <c r="E62" s="7"/>
      <c r="F62" s="7"/>
      <c r="G62" s="7"/>
      <c r="H62" s="7"/>
      <c r="I62" s="7"/>
    </row>
    <row r="63" spans="3:15" x14ac:dyDescent="0.15">
      <c r="E63" s="7"/>
      <c r="F63" s="7"/>
      <c r="G63" s="7"/>
      <c r="H63" s="7"/>
      <c r="I63" s="7"/>
      <c r="J63" s="61"/>
    </row>
    <row r="64" spans="3:15" x14ac:dyDescent="0.15">
      <c r="E64" s="7"/>
      <c r="F64" s="7"/>
      <c r="G64" s="7"/>
      <c r="H64" s="7"/>
      <c r="I64" s="7"/>
      <c r="J64" s="61"/>
    </row>
    <row r="66" spans="8:11" x14ac:dyDescent="0.15">
      <c r="H66" s="62"/>
      <c r="J66" s="62"/>
      <c r="K66" s="62"/>
    </row>
    <row r="67" spans="8:11" x14ac:dyDescent="0.15">
      <c r="H67" s="62"/>
    </row>
  </sheetData>
  <autoFilter ref="C3:O56" xr:uid="{00000000-0009-0000-0000-000000000000}">
    <filterColumn colId="7" showButton="0"/>
    <filterColumn colId="8" showButton="0"/>
  </autoFilter>
  <mergeCells count="9">
    <mergeCell ref="C2:O2"/>
    <mergeCell ref="C3:C4"/>
    <mergeCell ref="D3:D4"/>
    <mergeCell ref="G3:G4"/>
    <mergeCell ref="H3:H4"/>
    <mergeCell ref="I3:I4"/>
    <mergeCell ref="O3:O4"/>
    <mergeCell ref="N3:N4"/>
    <mergeCell ref="J3:M3"/>
  </mergeCells>
  <phoneticPr fontId="8" type="noConversion"/>
  <printOptions horizontalCentered="1"/>
  <pageMargins left="0.19685039370078741" right="0.19685039370078741" top="0.65" bottom="0.19685039370078741" header="0.8" footer="0.31496062992125984"/>
  <pageSetup scale="53" orientation="landscape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U175"/>
  <sheetViews>
    <sheetView workbookViewId="0">
      <selection activeCell="E20" sqref="E20"/>
    </sheetView>
  </sheetViews>
  <sheetFormatPr baseColWidth="10" defaultColWidth="10.83203125" defaultRowHeight="13" x14ac:dyDescent="0.15"/>
  <cols>
    <col min="1" max="1" width="5.33203125" style="1" customWidth="1"/>
    <col min="2" max="2" width="25.83203125" style="1" customWidth="1"/>
    <col min="3" max="3" width="12.1640625" style="1" customWidth="1"/>
    <col min="4" max="4" width="20.1640625" style="1" customWidth="1"/>
    <col min="5" max="5" width="15.6640625" style="1" customWidth="1"/>
    <col min="6" max="6" width="16.6640625" style="1" customWidth="1"/>
    <col min="7" max="7" width="21.33203125" style="1" customWidth="1"/>
    <col min="8" max="8" width="16.1640625" style="1" customWidth="1"/>
    <col min="9" max="9" width="14.6640625" style="1" customWidth="1"/>
    <col min="10" max="16384" width="10.83203125" style="1"/>
  </cols>
  <sheetData>
    <row r="1" spans="1:21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7" thickBot="1" x14ac:dyDescent="0.25">
      <c r="A2" s="2"/>
      <c r="B2" s="3" t="s">
        <v>52</v>
      </c>
      <c r="C2" s="2"/>
      <c r="D2" s="2"/>
      <c r="E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27.75" customHeight="1" thickBot="1" x14ac:dyDescent="0.2">
      <c r="A3" s="2"/>
      <c r="B3" s="58" t="s">
        <v>17</v>
      </c>
      <c r="C3" s="59" t="s">
        <v>18</v>
      </c>
      <c r="D3" s="59" t="s">
        <v>19</v>
      </c>
      <c r="E3" s="60" t="s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1" ht="16" x14ac:dyDescent="0.25">
      <c r="A4" s="2"/>
      <c r="B4" s="71" t="s">
        <v>42</v>
      </c>
      <c r="C4" s="86"/>
      <c r="D4" s="78">
        <v>1.2</v>
      </c>
      <c r="E4" s="82">
        <f>C4*D4</f>
        <v>0</v>
      </c>
      <c r="F4" s="2"/>
      <c r="G4" s="2"/>
      <c r="H4" s="5"/>
      <c r="I4" s="2"/>
      <c r="J4" s="2"/>
      <c r="K4" s="2"/>
      <c r="L4" s="2"/>
      <c r="M4" s="2"/>
      <c r="N4" s="2"/>
      <c r="O4" s="2"/>
      <c r="P4" s="2"/>
      <c r="Q4" s="2"/>
    </row>
    <row r="5" spans="1:21" ht="16" x14ac:dyDescent="0.25">
      <c r="A5" s="2"/>
      <c r="B5" s="71" t="s">
        <v>43</v>
      </c>
      <c r="C5" s="87"/>
      <c r="D5" s="79">
        <v>1.2</v>
      </c>
      <c r="E5" s="82">
        <f>C5*D5</f>
        <v>0</v>
      </c>
      <c r="F5" s="2"/>
      <c r="G5" s="2"/>
      <c r="H5" s="5"/>
      <c r="I5" s="2"/>
      <c r="J5" s="2"/>
      <c r="K5" s="2"/>
      <c r="L5" s="2"/>
      <c r="M5" s="2"/>
      <c r="N5" s="2"/>
      <c r="O5" s="2"/>
      <c r="P5" s="2"/>
      <c r="Q5" s="2"/>
    </row>
    <row r="6" spans="1:21" ht="16" x14ac:dyDescent="0.25">
      <c r="A6" s="2"/>
      <c r="B6" s="71" t="s">
        <v>44</v>
      </c>
      <c r="C6" s="87"/>
      <c r="D6" s="79">
        <v>1</v>
      </c>
      <c r="E6" s="82">
        <f>C6*D6</f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1" ht="16" x14ac:dyDescent="0.25">
      <c r="A7" s="2"/>
      <c r="B7" s="71" t="s">
        <v>45</v>
      </c>
      <c r="C7" s="87"/>
      <c r="D7" s="79">
        <v>0</v>
      </c>
      <c r="E7" s="82">
        <f>C7*D7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1" ht="16" x14ac:dyDescent="0.25">
      <c r="A8" s="2"/>
      <c r="B8" s="71" t="s">
        <v>23</v>
      </c>
      <c r="C8" s="87"/>
      <c r="D8" s="79">
        <v>2.8</v>
      </c>
      <c r="E8" s="82">
        <f>C8*D8</f>
        <v>0</v>
      </c>
      <c r="F8" s="2"/>
      <c r="G8" s="2"/>
      <c r="H8" s="5"/>
      <c r="I8" s="2"/>
      <c r="J8" s="2"/>
      <c r="K8" s="2"/>
      <c r="L8" s="2"/>
      <c r="M8" s="2"/>
      <c r="N8" s="2"/>
      <c r="O8" s="2"/>
      <c r="P8" s="2"/>
      <c r="Q8" s="2"/>
    </row>
    <row r="9" spans="1:21" ht="16" x14ac:dyDescent="0.25">
      <c r="A9" s="2"/>
      <c r="B9" s="71" t="s">
        <v>46</v>
      </c>
      <c r="C9" s="87"/>
      <c r="D9" s="79">
        <v>0</v>
      </c>
      <c r="E9" s="82">
        <f t="shared" ref="E9:E15" si="0">C9*D9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1" ht="16" x14ac:dyDescent="0.25">
      <c r="A10" s="2"/>
      <c r="B10" s="71" t="s">
        <v>47</v>
      </c>
      <c r="C10" s="87"/>
      <c r="D10" s="79">
        <v>8.5</v>
      </c>
      <c r="E10" s="82">
        <f>C10*D10</f>
        <v>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1" ht="16" x14ac:dyDescent="0.25">
      <c r="A11" s="2"/>
      <c r="B11" s="71" t="s">
        <v>24</v>
      </c>
      <c r="C11" s="87"/>
      <c r="D11" s="98">
        <v>0.7</v>
      </c>
      <c r="E11" s="82">
        <f t="shared" si="0"/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1" ht="16" x14ac:dyDescent="0.25">
      <c r="A12" s="2"/>
      <c r="B12" s="71" t="s">
        <v>48</v>
      </c>
      <c r="C12" s="87"/>
      <c r="D12" s="98">
        <v>1.2</v>
      </c>
      <c r="E12" s="82">
        <f>C12*D12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1" ht="16" x14ac:dyDescent="0.25">
      <c r="A13" s="2"/>
      <c r="B13" s="71" t="s">
        <v>26</v>
      </c>
      <c r="C13" s="87"/>
      <c r="D13" s="98">
        <v>0.7</v>
      </c>
      <c r="E13" s="82">
        <f>C13*D13</f>
        <v>0</v>
      </c>
      <c r="F13" s="2"/>
      <c r="G13" s="2"/>
      <c r="H13" s="5"/>
      <c r="I13" s="2"/>
      <c r="J13" s="2"/>
      <c r="K13" s="2"/>
      <c r="L13" s="2"/>
      <c r="M13" s="2"/>
      <c r="N13" s="2"/>
      <c r="O13" s="2"/>
      <c r="P13" s="2"/>
      <c r="Q13" s="2"/>
    </row>
    <row r="14" spans="1:21" ht="16" x14ac:dyDescent="0.25">
      <c r="A14" s="2"/>
      <c r="B14" s="71" t="s">
        <v>49</v>
      </c>
      <c r="C14" s="87"/>
      <c r="D14" s="79">
        <v>0.5</v>
      </c>
      <c r="E14" s="82">
        <f t="shared" si="0"/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1" ht="16" x14ac:dyDescent="0.25">
      <c r="A15" s="2"/>
      <c r="B15" s="71" t="s">
        <v>25</v>
      </c>
      <c r="C15" s="87"/>
      <c r="D15" s="79">
        <v>0.1</v>
      </c>
      <c r="E15" s="82">
        <f t="shared" si="0"/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1" ht="16" x14ac:dyDescent="0.25">
      <c r="A16" s="2"/>
      <c r="B16" s="71" t="s">
        <v>50</v>
      </c>
      <c r="C16" s="87"/>
      <c r="D16" s="79">
        <v>0.1</v>
      </c>
      <c r="E16" s="80">
        <f>C16*D16</f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8" ht="16" x14ac:dyDescent="0.25">
      <c r="A17" s="2"/>
      <c r="B17" s="71" t="s">
        <v>30</v>
      </c>
      <c r="C17" s="88"/>
      <c r="D17" s="79">
        <v>1.8</v>
      </c>
      <c r="E17" s="80">
        <f>C17*D17</f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8" ht="16" x14ac:dyDescent="0.25">
      <c r="A18" s="2"/>
      <c r="B18" s="71" t="s">
        <v>28</v>
      </c>
      <c r="C18" s="81"/>
      <c r="D18" s="79">
        <v>0</v>
      </c>
      <c r="E18" s="80">
        <f>C18*D18</f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8" ht="17" x14ac:dyDescent="0.25">
      <c r="A19" s="2"/>
      <c r="B19" s="100" t="s">
        <v>53</v>
      </c>
      <c r="C19" s="100"/>
      <c r="D19" s="101">
        <v>1</v>
      </c>
      <c r="E19" s="102">
        <v>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7" x14ac:dyDescent="0.25">
      <c r="A20" s="2"/>
      <c r="B20" s="2"/>
      <c r="C20" s="96">
        <f>SUM(C4:C18)</f>
        <v>0</v>
      </c>
      <c r="D20" s="2"/>
      <c r="E20" s="4">
        <f>SUM(E4:E19)</f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15">
      <c r="A21" s="2"/>
      <c r="B21" s="2"/>
      <c r="C21" s="64"/>
      <c r="D21" s="2"/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8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8" x14ac:dyDescent="0.15">
      <c r="A24" s="2"/>
      <c r="B24" s="2"/>
      <c r="C24" s="2"/>
      <c r="D24" s="64"/>
      <c r="E24" s="2"/>
      <c r="F24" s="2"/>
      <c r="G24" s="2"/>
      <c r="H24" s="2"/>
      <c r="I24" s="2"/>
      <c r="J24" s="2"/>
      <c r="K24" s="2"/>
      <c r="L24" s="2"/>
    </row>
    <row r="25" spans="1:18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8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8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8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8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8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8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8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2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2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2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2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2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2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8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8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8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8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8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8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8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8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8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8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8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8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2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2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2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2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2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2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2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2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15">
      <c r="A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15">
      <c r="A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15">
      <c r="A106" s="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15">
      <c r="A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15">
      <c r="A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15">
      <c r="A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15">
      <c r="A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15">
      <c r="A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15">
      <c r="A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15">
      <c r="A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x14ac:dyDescent="0.15">
      <c r="A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15">
      <c r="A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x14ac:dyDescent="0.15">
      <c r="A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15">
      <c r="A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x14ac:dyDescent="0.15">
      <c r="A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x14ac:dyDescent="0.15">
      <c r="A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x14ac:dyDescent="0.15">
      <c r="A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x14ac:dyDescent="0.15">
      <c r="A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x14ac:dyDescent="0.15">
      <c r="A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x14ac:dyDescent="0.15">
      <c r="A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x14ac:dyDescent="0.15">
      <c r="A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x14ac:dyDescent="0.15">
      <c r="A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x14ac:dyDescent="0.15">
      <c r="A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x14ac:dyDescent="0.15">
      <c r="A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x14ac:dyDescent="0.15">
      <c r="A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x14ac:dyDescent="0.15">
      <c r="A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x14ac:dyDescent="0.15">
      <c r="A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x14ac:dyDescent="0.15">
      <c r="A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x14ac:dyDescent="0.15">
      <c r="A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x14ac:dyDescent="0.15">
      <c r="A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x14ac:dyDescent="0.15">
      <c r="A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x14ac:dyDescent="0.15">
      <c r="A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x14ac:dyDescent="0.15">
      <c r="A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x14ac:dyDescent="0.15">
      <c r="A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15">
      <c r="A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15">
      <c r="A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x14ac:dyDescent="0.15">
      <c r="A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x14ac:dyDescent="0.15">
      <c r="A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x14ac:dyDescent="0.15">
      <c r="A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x14ac:dyDescent="0.15">
      <c r="A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x14ac:dyDescent="0.15">
      <c r="A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x14ac:dyDescent="0.15">
      <c r="A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x14ac:dyDescent="0.15">
      <c r="A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x14ac:dyDescent="0.15">
      <c r="A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x14ac:dyDescent="0.15">
      <c r="A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x14ac:dyDescent="0.15">
      <c r="A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x14ac:dyDescent="0.15">
      <c r="A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x14ac:dyDescent="0.15">
      <c r="A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x14ac:dyDescent="0.15">
      <c r="A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x14ac:dyDescent="0.15">
      <c r="A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x14ac:dyDescent="0.15">
      <c r="A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x14ac:dyDescent="0.15">
      <c r="A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x14ac:dyDescent="0.15">
      <c r="A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x14ac:dyDescent="0.15">
      <c r="A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x14ac:dyDescent="0.15">
      <c r="A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x14ac:dyDescent="0.15">
      <c r="A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x14ac:dyDescent="0.15">
      <c r="A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x14ac:dyDescent="0.15">
      <c r="A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x14ac:dyDescent="0.15">
      <c r="A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x14ac:dyDescent="0.15">
      <c r="A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x14ac:dyDescent="0.15">
      <c r="A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x14ac:dyDescent="0.15">
      <c r="A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x14ac:dyDescent="0.15">
      <c r="A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x14ac:dyDescent="0.15">
      <c r="A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x14ac:dyDescent="0.15">
      <c r="A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x14ac:dyDescent="0.15">
      <c r="A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x14ac:dyDescent="0.15">
      <c r="A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x14ac:dyDescent="0.15">
      <c r="A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x14ac:dyDescent="0.15">
      <c r="A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x14ac:dyDescent="0.15">
      <c r="A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x14ac:dyDescent="0.15">
      <c r="A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x14ac:dyDescent="0.15">
      <c r="A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</sheetData>
  <pageMargins left="0.75" right="0.75" top="1" bottom="1" header="0.5" footer="0.5"/>
  <pageSetup orientation="portrait" verticalDpi="4294967292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P55"/>
  <sheetViews>
    <sheetView showGridLines="0" workbookViewId="0">
      <selection activeCell="L31" sqref="L31"/>
    </sheetView>
  </sheetViews>
  <sheetFormatPr baseColWidth="10" defaultColWidth="10.6640625" defaultRowHeight="12" x14ac:dyDescent="0.15"/>
  <cols>
    <col min="1" max="1" width="3.6640625" style="10" customWidth="1"/>
    <col min="2" max="2" width="7.83203125" style="10" customWidth="1"/>
    <col min="3" max="3" width="19.33203125" style="10" bestFit="1" customWidth="1"/>
    <col min="4" max="4" width="13.1640625" style="10" customWidth="1"/>
    <col min="5" max="5" width="14.1640625" style="10" customWidth="1"/>
    <col min="6" max="6" width="23.1640625" style="10" customWidth="1"/>
    <col min="7" max="8" width="11.83203125" style="10" customWidth="1"/>
    <col min="9" max="9" width="13.6640625" style="10" customWidth="1"/>
    <col min="10" max="10" width="6.83203125" style="10" customWidth="1"/>
    <col min="11" max="11" width="7.33203125" style="10" customWidth="1"/>
    <col min="12" max="12" width="14.83203125" style="10" customWidth="1"/>
    <col min="13" max="14" width="6.6640625" style="10" customWidth="1"/>
    <col min="15" max="15" width="7.1640625" style="10" customWidth="1"/>
    <col min="16" max="16" width="9.33203125" style="10" customWidth="1"/>
    <col min="17" max="16384" width="10.6640625" style="10"/>
  </cols>
  <sheetData>
    <row r="1" spans="2:12" x14ac:dyDescent="0.1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2:12" ht="13" thickBot="1" x14ac:dyDescent="0.2"/>
    <row r="3" spans="2:12" ht="13.5" customHeight="1" x14ac:dyDescent="0.15">
      <c r="B3" s="124" t="s">
        <v>5</v>
      </c>
      <c r="C3" s="126" t="s">
        <v>7</v>
      </c>
      <c r="D3" s="26" t="s">
        <v>8</v>
      </c>
      <c r="E3" s="26" t="s">
        <v>0</v>
      </c>
      <c r="F3" s="26" t="s">
        <v>12</v>
      </c>
      <c r="G3" s="26"/>
      <c r="H3" s="26"/>
      <c r="I3" s="128" t="s">
        <v>33</v>
      </c>
      <c r="J3" s="128"/>
      <c r="K3" s="128"/>
      <c r="L3" s="129" t="s">
        <v>4</v>
      </c>
    </row>
    <row r="4" spans="2:12" ht="13.5" customHeight="1" thickBot="1" x14ac:dyDescent="0.2">
      <c r="B4" s="125"/>
      <c r="C4" s="127"/>
      <c r="D4" s="27" t="s">
        <v>1</v>
      </c>
      <c r="E4" s="27" t="s">
        <v>6</v>
      </c>
      <c r="F4" s="27" t="s">
        <v>9</v>
      </c>
      <c r="G4" s="27" t="s">
        <v>36</v>
      </c>
      <c r="H4" s="27" t="s">
        <v>21</v>
      </c>
      <c r="I4" s="27" t="s">
        <v>22</v>
      </c>
      <c r="J4" s="27" t="s">
        <v>13</v>
      </c>
      <c r="K4" s="27" t="s">
        <v>14</v>
      </c>
      <c r="L4" s="130"/>
    </row>
    <row r="5" spans="2:12" x14ac:dyDescent="0.15">
      <c r="B5" s="28"/>
      <c r="C5" s="29"/>
      <c r="D5" s="30"/>
      <c r="E5" s="30"/>
      <c r="F5" s="31"/>
      <c r="G5" s="31"/>
      <c r="H5" s="30"/>
      <c r="I5" s="30"/>
      <c r="J5" s="30"/>
      <c r="K5" s="30"/>
      <c r="L5" s="35">
        <f>MIN(J5-K5)</f>
        <v>0</v>
      </c>
    </row>
    <row r="6" spans="2:12" ht="13" thickBot="1" x14ac:dyDescent="0.2">
      <c r="B6" s="32"/>
      <c r="C6" s="33"/>
      <c r="D6" s="33"/>
      <c r="E6" s="33"/>
      <c r="F6" s="34"/>
      <c r="G6" s="34"/>
      <c r="H6" s="33"/>
      <c r="I6" s="33"/>
      <c r="J6" s="33"/>
      <c r="K6" s="33"/>
      <c r="L6" s="36">
        <f>MIN(J6-K6)</f>
        <v>0</v>
      </c>
    </row>
    <row r="7" spans="2:12" ht="13" thickBot="1" x14ac:dyDescent="0.2">
      <c r="B7" s="21"/>
      <c r="C7" s="21"/>
      <c r="D7" s="21"/>
      <c r="E7" s="21"/>
      <c r="F7" s="21"/>
      <c r="G7" s="22"/>
      <c r="H7" s="21"/>
      <c r="I7" s="21"/>
      <c r="J7" s="23"/>
      <c r="K7" s="19" t="s">
        <v>38</v>
      </c>
      <c r="L7" s="37">
        <f>SUM(L5:L6)</f>
        <v>0</v>
      </c>
    </row>
    <row r="8" spans="2:12" x14ac:dyDescent="0.15">
      <c r="B8" s="18"/>
      <c r="C8" s="18"/>
      <c r="D8" s="18"/>
      <c r="E8" s="18"/>
      <c r="F8" s="18"/>
      <c r="G8" s="18"/>
      <c r="H8" s="18"/>
      <c r="I8" s="18"/>
      <c r="J8" s="18"/>
      <c r="K8" s="19"/>
      <c r="L8" s="20"/>
    </row>
    <row r="9" spans="2:12" ht="13" thickBot="1" x14ac:dyDescent="0.2"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</row>
    <row r="10" spans="2:12" ht="13" thickBot="1" x14ac:dyDescent="0.2">
      <c r="B10" s="38"/>
      <c r="C10" s="39"/>
      <c r="D10" s="40"/>
      <c r="E10" s="40"/>
      <c r="F10" s="41"/>
      <c r="G10" s="41"/>
      <c r="H10" s="40"/>
      <c r="I10" s="40"/>
      <c r="J10" s="40"/>
      <c r="K10" s="40"/>
      <c r="L10" s="44">
        <f>+J10-K10</f>
        <v>0</v>
      </c>
    </row>
    <row r="11" spans="2:12" ht="15" customHeight="1" thickBot="1" x14ac:dyDescent="0.2">
      <c r="B11" s="21"/>
      <c r="C11" s="21"/>
      <c r="D11" s="21"/>
      <c r="E11" s="21"/>
      <c r="F11" s="21"/>
      <c r="G11" s="22"/>
      <c r="H11" s="21"/>
      <c r="I11" s="21"/>
      <c r="J11" s="23"/>
      <c r="K11" s="19" t="s">
        <v>20</v>
      </c>
      <c r="L11" s="37">
        <f>SUM(L10:L10)</f>
        <v>0</v>
      </c>
    </row>
    <row r="12" spans="2:12" x14ac:dyDescent="0.15">
      <c r="B12" s="21"/>
      <c r="C12" s="21"/>
      <c r="D12" s="21"/>
      <c r="E12" s="21"/>
      <c r="F12" s="21"/>
      <c r="G12" s="22"/>
      <c r="H12" s="21"/>
      <c r="I12" s="21"/>
      <c r="J12" s="23"/>
      <c r="K12" s="19"/>
      <c r="L12" s="20"/>
    </row>
    <row r="13" spans="2:12" ht="15.75" customHeight="1" thickBot="1" x14ac:dyDescent="0.2"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</row>
    <row r="14" spans="2:12" x14ac:dyDescent="0.15">
      <c r="B14" s="28"/>
      <c r="C14" s="30"/>
      <c r="D14" s="30"/>
      <c r="E14" s="30"/>
      <c r="F14" s="30"/>
      <c r="G14" s="31"/>
      <c r="H14" s="30"/>
      <c r="I14" s="30"/>
      <c r="J14" s="30"/>
      <c r="K14" s="30"/>
      <c r="L14" s="35">
        <f>MIN(J14-K14)</f>
        <v>0</v>
      </c>
    </row>
    <row r="15" spans="2:12" x14ac:dyDescent="0.15">
      <c r="B15" s="42"/>
      <c r="C15" s="16"/>
      <c r="D15" s="16"/>
      <c r="E15" s="16"/>
      <c r="F15" s="16"/>
      <c r="G15" s="15"/>
      <c r="H15" s="16"/>
      <c r="I15" s="16"/>
      <c r="J15" s="16"/>
      <c r="K15" s="16"/>
      <c r="L15" s="43">
        <f>MIN(J15-K15)</f>
        <v>0</v>
      </c>
    </row>
    <row r="16" spans="2:12" ht="13" thickBot="1" x14ac:dyDescent="0.2">
      <c r="B16" s="32"/>
      <c r="C16" s="33"/>
      <c r="D16" s="33"/>
      <c r="E16" s="33"/>
      <c r="F16" s="33"/>
      <c r="G16" s="34"/>
      <c r="H16" s="33"/>
      <c r="I16" s="33"/>
      <c r="J16" s="33"/>
      <c r="K16" s="33"/>
      <c r="L16" s="36">
        <f>MIN(J16-K16)</f>
        <v>0</v>
      </c>
    </row>
    <row r="17" spans="2:12" ht="13" thickBot="1" x14ac:dyDescent="0.2">
      <c r="B17" s="21"/>
      <c r="C17" s="21"/>
      <c r="D17" s="21"/>
      <c r="E17" s="21"/>
      <c r="F17" s="21"/>
      <c r="G17" s="22"/>
      <c r="H17" s="21"/>
      <c r="I17" s="21"/>
      <c r="J17" s="23"/>
      <c r="K17" s="19" t="s">
        <v>37</v>
      </c>
      <c r="L17" s="37">
        <f>SUM(L14:L16)</f>
        <v>0</v>
      </c>
    </row>
    <row r="18" spans="2:12" ht="15" customHeight="1" x14ac:dyDescent="0.15">
      <c r="B18" s="21"/>
      <c r="C18" s="21"/>
      <c r="D18" s="21"/>
      <c r="E18" s="21"/>
      <c r="F18" s="21"/>
      <c r="G18" s="22"/>
      <c r="H18" s="21"/>
      <c r="I18" s="21"/>
      <c r="J18" s="23"/>
      <c r="K18" s="19"/>
      <c r="L18" s="20"/>
    </row>
    <row r="19" spans="2:12" ht="15.75" customHeight="1" thickBot="1" x14ac:dyDescent="0.2"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</row>
    <row r="20" spans="2:12" x14ac:dyDescent="0.15">
      <c r="B20" s="28"/>
      <c r="C20" s="30"/>
      <c r="D20" s="30"/>
      <c r="E20" s="30"/>
      <c r="F20" s="30"/>
      <c r="G20" s="31"/>
      <c r="H20" s="30"/>
      <c r="I20" s="30"/>
      <c r="J20" s="30"/>
      <c r="K20" s="30"/>
      <c r="L20" s="35">
        <f>MIN(J20-K20)</f>
        <v>0</v>
      </c>
    </row>
    <row r="21" spans="2:12" ht="13" thickBot="1" x14ac:dyDescent="0.2">
      <c r="B21" s="32"/>
      <c r="C21" s="33"/>
      <c r="D21" s="33"/>
      <c r="E21" s="33"/>
      <c r="F21" s="33"/>
      <c r="G21" s="34"/>
      <c r="H21" s="33"/>
      <c r="I21" s="33"/>
      <c r="J21" s="33"/>
      <c r="K21" s="33"/>
      <c r="L21" s="36">
        <f>MIN(J21-K21)</f>
        <v>0</v>
      </c>
    </row>
    <row r="22" spans="2:12" ht="13" thickBot="1" x14ac:dyDescent="0.2">
      <c r="B22" s="21"/>
      <c r="C22" s="21"/>
      <c r="D22" s="21"/>
      <c r="E22" s="21"/>
      <c r="F22" s="21"/>
      <c r="G22" s="22"/>
      <c r="H22" s="21"/>
      <c r="I22" s="21"/>
      <c r="J22" s="23"/>
      <c r="K22" s="19" t="s">
        <v>40</v>
      </c>
      <c r="L22" s="45">
        <f>SUM(L20:L21)</f>
        <v>0</v>
      </c>
    </row>
    <row r="23" spans="2:12" ht="15" customHeight="1" x14ac:dyDescent="0.15">
      <c r="B23" s="21"/>
      <c r="C23" s="21"/>
      <c r="D23" s="21"/>
      <c r="E23" s="21"/>
      <c r="F23" s="21"/>
      <c r="G23" s="22"/>
      <c r="H23" s="21"/>
      <c r="I23" s="21"/>
      <c r="J23" s="23"/>
      <c r="K23" s="19"/>
      <c r="L23" s="20"/>
    </row>
    <row r="24" spans="2:12" ht="13" thickBot="1" x14ac:dyDescent="0.2"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</row>
    <row r="25" spans="2:12" x14ac:dyDescent="0.15">
      <c r="B25" s="28"/>
      <c r="C25" s="30"/>
      <c r="D25" s="30"/>
      <c r="E25" s="30"/>
      <c r="F25" s="30"/>
      <c r="G25" s="31"/>
      <c r="H25" s="30"/>
      <c r="I25" s="30"/>
      <c r="J25" s="30"/>
      <c r="K25" s="30"/>
      <c r="L25" s="35">
        <f>MIN(J25-K25)</f>
        <v>0</v>
      </c>
    </row>
    <row r="26" spans="2:12" ht="13" thickBot="1" x14ac:dyDescent="0.2">
      <c r="B26" s="32"/>
      <c r="C26" s="33"/>
      <c r="D26" s="33"/>
      <c r="E26" s="33"/>
      <c r="F26" s="33"/>
      <c r="G26" s="34"/>
      <c r="H26" s="33"/>
      <c r="I26" s="33"/>
      <c r="J26" s="33"/>
      <c r="K26" s="33"/>
      <c r="L26" s="36">
        <f>MIN(J26-K26)</f>
        <v>0</v>
      </c>
    </row>
    <row r="27" spans="2:12" ht="13" thickBot="1" x14ac:dyDescent="0.2">
      <c r="B27" s="46"/>
      <c r="C27" s="46"/>
      <c r="D27" s="46"/>
      <c r="E27" s="46"/>
      <c r="F27" s="46"/>
      <c r="G27" s="47"/>
      <c r="H27" s="46"/>
      <c r="I27" s="46"/>
      <c r="J27" s="48"/>
      <c r="K27" s="49" t="s">
        <v>29</v>
      </c>
      <c r="L27" s="37">
        <f>SUM(L25:L26)</f>
        <v>0</v>
      </c>
    </row>
    <row r="30" spans="2:12" x14ac:dyDescent="0.15">
      <c r="K30" s="24" t="s">
        <v>39</v>
      </c>
      <c r="L30" s="25">
        <f>SUM(L7+L11+L17+L22+L27)</f>
        <v>0</v>
      </c>
    </row>
    <row r="45" spans="2:2" x14ac:dyDescent="0.15">
      <c r="B45" s="7"/>
    </row>
    <row r="46" spans="2:2" x14ac:dyDescent="0.15">
      <c r="B46" s="7"/>
    </row>
    <row r="54" spans="2:16" s="14" customFormat="1" x14ac:dyDescent="0.1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2:16" s="14" customFormat="1" x14ac:dyDescent="0.1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</sheetData>
  <mergeCells count="9">
    <mergeCell ref="B24:L24"/>
    <mergeCell ref="B9:L9"/>
    <mergeCell ref="B13:L13"/>
    <mergeCell ref="B19:L19"/>
    <mergeCell ref="B1:L1"/>
    <mergeCell ref="B3:B4"/>
    <mergeCell ref="C3:C4"/>
    <mergeCell ref="I3:K3"/>
    <mergeCell ref="L3:L4"/>
  </mergeCells>
  <printOptions horizontalCentered="1"/>
  <pageMargins left="0.19685039370078741" right="0.19685039370078741" top="0.19685039370078741" bottom="0.19685039370078741" header="0.31496062992125984" footer="0.31496062992125984"/>
  <pageSetup scale="87"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57"/>
  <sheetViews>
    <sheetView showGridLines="0" workbookViewId="0">
      <selection activeCell="K40" sqref="K40"/>
    </sheetView>
  </sheetViews>
  <sheetFormatPr baseColWidth="10" defaultColWidth="10.6640625" defaultRowHeight="12" x14ac:dyDescent="0.15"/>
  <cols>
    <col min="1" max="1" width="3.6640625" style="10" customWidth="1"/>
    <col min="2" max="2" width="7.83203125" style="10" customWidth="1"/>
    <col min="3" max="3" width="19.33203125" style="10" bestFit="1" customWidth="1"/>
    <col min="4" max="4" width="13.1640625" style="10" customWidth="1"/>
    <col min="5" max="5" width="14.1640625" style="10" customWidth="1"/>
    <col min="6" max="6" width="25.33203125" style="10" customWidth="1"/>
    <col min="7" max="8" width="11.83203125" style="10" customWidth="1"/>
    <col min="9" max="9" width="13.6640625" style="10" customWidth="1"/>
    <col min="10" max="10" width="6" style="10" customWidth="1"/>
    <col min="11" max="11" width="6.33203125" style="10" customWidth="1"/>
    <col min="12" max="12" width="14.83203125" style="10" customWidth="1"/>
    <col min="13" max="14" width="6.6640625" style="10" customWidth="1"/>
    <col min="15" max="15" width="7.1640625" style="10" customWidth="1"/>
    <col min="16" max="16" width="9.33203125" style="10" customWidth="1"/>
    <col min="17" max="16384" width="10.6640625" style="10"/>
  </cols>
  <sheetData>
    <row r="1" spans="2:12" x14ac:dyDescent="0.15"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2:12" ht="13" thickBot="1" x14ac:dyDescent="0.2"/>
    <row r="3" spans="2:12" ht="12.75" customHeight="1" x14ac:dyDescent="0.15">
      <c r="B3" s="137" t="s">
        <v>5</v>
      </c>
      <c r="C3" s="138" t="s">
        <v>7</v>
      </c>
      <c r="D3" s="141" t="s">
        <v>8</v>
      </c>
      <c r="E3" s="141" t="s">
        <v>0</v>
      </c>
      <c r="F3" s="141" t="s">
        <v>12</v>
      </c>
      <c r="G3" s="141" t="s">
        <v>2</v>
      </c>
      <c r="H3" s="141" t="s">
        <v>21</v>
      </c>
      <c r="I3" s="139" t="s">
        <v>11</v>
      </c>
      <c r="J3" s="139"/>
      <c r="K3" s="139"/>
      <c r="L3" s="140" t="s">
        <v>4</v>
      </c>
    </row>
    <row r="4" spans="2:12" ht="18.75" customHeight="1" thickBot="1" x14ac:dyDescent="0.2">
      <c r="B4" s="125"/>
      <c r="C4" s="127"/>
      <c r="D4" s="142"/>
      <c r="E4" s="142"/>
      <c r="F4" s="142"/>
      <c r="G4" s="142"/>
      <c r="H4" s="142"/>
      <c r="I4" s="27" t="s">
        <v>22</v>
      </c>
      <c r="J4" s="27" t="s">
        <v>13</v>
      </c>
      <c r="K4" s="27" t="s">
        <v>14</v>
      </c>
      <c r="L4" s="130"/>
    </row>
    <row r="5" spans="2:12" x14ac:dyDescent="0.15">
      <c r="B5" s="28"/>
      <c r="C5" s="30"/>
      <c r="D5" s="30"/>
      <c r="E5" s="30"/>
      <c r="F5" s="30"/>
      <c r="G5" s="31"/>
      <c r="H5" s="30"/>
      <c r="I5" s="30"/>
      <c r="J5" s="30"/>
      <c r="K5" s="30"/>
      <c r="L5" s="35">
        <f>MIN(J5-K5)</f>
        <v>0</v>
      </c>
    </row>
    <row r="6" spans="2:12" x14ac:dyDescent="0.15">
      <c r="B6" s="42"/>
      <c r="C6" s="16"/>
      <c r="D6" s="16"/>
      <c r="E6" s="16"/>
      <c r="F6" s="17"/>
      <c r="G6" s="15"/>
      <c r="H6" s="16"/>
      <c r="I6" s="16"/>
      <c r="J6" s="16"/>
      <c r="K6" s="16"/>
      <c r="L6" s="43">
        <f>MIN(J6-K6)</f>
        <v>0</v>
      </c>
    </row>
    <row r="7" spans="2:12" ht="13" thickBot="1" x14ac:dyDescent="0.2">
      <c r="B7" s="32"/>
      <c r="C7" s="33"/>
      <c r="D7" s="33"/>
      <c r="E7" s="33"/>
      <c r="F7" s="52"/>
      <c r="G7" s="34"/>
      <c r="H7" s="33"/>
      <c r="I7" s="33"/>
      <c r="J7" s="33"/>
      <c r="K7" s="33"/>
      <c r="L7" s="36">
        <f>MIN(J7-K7)</f>
        <v>0</v>
      </c>
    </row>
    <row r="8" spans="2:12" ht="13" thickBot="1" x14ac:dyDescent="0.2">
      <c r="B8" s="21"/>
      <c r="C8" s="21"/>
      <c r="D8" s="21"/>
      <c r="E8" s="21"/>
      <c r="F8" s="21"/>
      <c r="G8" s="22"/>
      <c r="H8" s="21"/>
      <c r="I8" s="21"/>
      <c r="J8" s="23"/>
      <c r="K8" s="19" t="s">
        <v>3</v>
      </c>
      <c r="L8" s="37">
        <f>SUM(L5:L7)</f>
        <v>0</v>
      </c>
    </row>
    <row r="9" spans="2:12" ht="13" thickBot="1" x14ac:dyDescent="0.2">
      <c r="B9" s="18"/>
      <c r="C9" s="18"/>
      <c r="D9" s="18"/>
      <c r="E9" s="18"/>
      <c r="F9" s="18"/>
      <c r="G9" s="18"/>
      <c r="H9" s="18"/>
      <c r="I9" s="18"/>
      <c r="J9" s="18"/>
      <c r="K9" s="19"/>
      <c r="L9" s="20"/>
    </row>
    <row r="10" spans="2:12" ht="15" customHeight="1" thickBot="1" x14ac:dyDescent="0.2">
      <c r="B10" s="134"/>
      <c r="C10" s="135"/>
      <c r="D10" s="135"/>
      <c r="E10" s="135"/>
      <c r="F10" s="135"/>
      <c r="G10" s="135"/>
      <c r="H10" s="135"/>
      <c r="I10" s="135"/>
      <c r="J10" s="135"/>
      <c r="K10" s="135"/>
      <c r="L10" s="136"/>
    </row>
    <row r="11" spans="2:12" x14ac:dyDescent="0.15">
      <c r="B11" s="28"/>
      <c r="C11" s="30"/>
      <c r="D11" s="30"/>
      <c r="E11" s="30"/>
      <c r="F11" s="30"/>
      <c r="G11" s="31"/>
      <c r="H11" s="30"/>
      <c r="I11" s="30"/>
      <c r="J11" s="30"/>
      <c r="K11" s="30"/>
      <c r="L11" s="35">
        <f>MIN(J11-K11)</f>
        <v>0</v>
      </c>
    </row>
    <row r="12" spans="2:12" x14ac:dyDescent="0.15">
      <c r="B12" s="42"/>
      <c r="C12" s="16"/>
      <c r="D12" s="16"/>
      <c r="E12" s="16"/>
      <c r="F12" s="16"/>
      <c r="G12" s="15"/>
      <c r="H12" s="16"/>
      <c r="I12" s="16"/>
      <c r="J12" s="16"/>
      <c r="K12" s="16"/>
      <c r="L12" s="43">
        <f>MIN(J12-K12)</f>
        <v>0</v>
      </c>
    </row>
    <row r="13" spans="2:12" x14ac:dyDescent="0.15">
      <c r="B13" s="42"/>
      <c r="C13" s="16"/>
      <c r="D13" s="16"/>
      <c r="E13" s="16"/>
      <c r="F13" s="16"/>
      <c r="G13" s="15"/>
      <c r="H13" s="16"/>
      <c r="I13" s="16"/>
      <c r="J13" s="16"/>
      <c r="K13" s="16"/>
      <c r="L13" s="43">
        <f>MIN(J13-K13)</f>
        <v>0</v>
      </c>
    </row>
    <row r="14" spans="2:12" ht="13" thickBot="1" x14ac:dyDescent="0.2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6">
        <f>MIN(J14-K14)</f>
        <v>0</v>
      </c>
    </row>
    <row r="15" spans="2:12" ht="13" thickBot="1" x14ac:dyDescent="0.2">
      <c r="B15" s="21"/>
      <c r="C15" s="21"/>
      <c r="D15" s="21"/>
      <c r="E15" s="21"/>
      <c r="F15" s="21"/>
      <c r="G15" s="22"/>
      <c r="H15" s="21"/>
      <c r="I15" s="21"/>
      <c r="J15" s="23"/>
      <c r="K15" s="19" t="s">
        <v>20</v>
      </c>
      <c r="L15" s="37">
        <f>SUM(L11:L14)</f>
        <v>0</v>
      </c>
    </row>
    <row r="16" spans="2:12" ht="13" thickBot="1" x14ac:dyDescent="0.2">
      <c r="B16" s="21"/>
      <c r="C16" s="21"/>
      <c r="D16" s="21"/>
      <c r="E16" s="21"/>
      <c r="F16" s="21"/>
      <c r="G16" s="22"/>
      <c r="H16" s="21"/>
      <c r="I16" s="21"/>
      <c r="J16" s="23"/>
      <c r="K16" s="19"/>
      <c r="L16" s="20"/>
    </row>
    <row r="17" spans="2:12" ht="15" customHeight="1" thickBot="1" x14ac:dyDescent="0.2">
      <c r="B17" s="134"/>
      <c r="C17" s="135"/>
      <c r="D17" s="135"/>
      <c r="E17" s="135"/>
      <c r="F17" s="135"/>
      <c r="G17" s="135"/>
      <c r="H17" s="135"/>
      <c r="I17" s="135"/>
      <c r="J17" s="135"/>
      <c r="K17" s="135"/>
      <c r="L17" s="136"/>
    </row>
    <row r="18" spans="2:12" x14ac:dyDescent="0.15">
      <c r="B18" s="28"/>
      <c r="C18" s="30"/>
      <c r="D18" s="30"/>
      <c r="E18" s="30"/>
      <c r="F18" s="30"/>
      <c r="G18" s="31"/>
      <c r="H18" s="30"/>
      <c r="I18" s="30"/>
      <c r="J18" s="30"/>
      <c r="K18" s="30"/>
      <c r="L18" s="35">
        <f>MIN(J18-K18)</f>
        <v>0</v>
      </c>
    </row>
    <row r="19" spans="2:12" x14ac:dyDescent="0.15">
      <c r="B19" s="42"/>
      <c r="C19" s="16"/>
      <c r="D19" s="16"/>
      <c r="E19" s="16"/>
      <c r="F19" s="17"/>
      <c r="G19" s="15"/>
      <c r="H19" s="16"/>
      <c r="I19" s="16"/>
      <c r="J19" s="16"/>
      <c r="K19" s="16"/>
      <c r="L19" s="43">
        <f>MIN(J19-K19)</f>
        <v>0</v>
      </c>
    </row>
    <row r="20" spans="2:12" x14ac:dyDescent="0.15">
      <c r="B20" s="42"/>
      <c r="C20" s="16"/>
      <c r="D20" s="16"/>
      <c r="E20" s="16"/>
      <c r="F20" s="17"/>
      <c r="G20" s="15"/>
      <c r="H20" s="16"/>
      <c r="I20" s="16"/>
      <c r="J20" s="16"/>
      <c r="K20" s="16"/>
      <c r="L20" s="43">
        <f>MIN(J20-K20)</f>
        <v>0</v>
      </c>
    </row>
    <row r="21" spans="2:12" ht="13" thickBot="1" x14ac:dyDescent="0.2">
      <c r="B21" s="32"/>
      <c r="C21" s="33"/>
      <c r="D21" s="33"/>
      <c r="E21" s="33"/>
      <c r="F21" s="52"/>
      <c r="G21" s="34"/>
      <c r="H21" s="33"/>
      <c r="I21" s="33"/>
      <c r="J21" s="33"/>
      <c r="K21" s="33"/>
      <c r="L21" s="36">
        <f>MIN(J21-K21)</f>
        <v>0</v>
      </c>
    </row>
    <row r="22" spans="2:12" ht="13" thickBot="1" x14ac:dyDescent="0.2">
      <c r="B22" s="21"/>
      <c r="C22" s="21"/>
      <c r="D22" s="21"/>
      <c r="E22" s="21"/>
      <c r="F22" s="21"/>
      <c r="G22" s="22"/>
      <c r="H22" s="21"/>
      <c r="I22" s="21"/>
      <c r="J22" s="23"/>
      <c r="K22" s="19" t="s">
        <v>16</v>
      </c>
      <c r="L22" s="37">
        <f>SUM(L18:L21)</f>
        <v>0</v>
      </c>
    </row>
    <row r="23" spans="2:12" ht="13" thickBot="1" x14ac:dyDescent="0.2">
      <c r="B23" s="21"/>
      <c r="C23" s="21"/>
      <c r="D23" s="21"/>
      <c r="E23" s="21"/>
      <c r="F23" s="21"/>
      <c r="G23" s="22"/>
      <c r="H23" s="21"/>
      <c r="I23" s="21"/>
      <c r="J23" s="23"/>
      <c r="K23" s="19"/>
      <c r="L23" s="20"/>
    </row>
    <row r="24" spans="2:12" ht="15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6"/>
    </row>
    <row r="25" spans="2:12" x14ac:dyDescent="0.15">
      <c r="B25" s="28"/>
      <c r="C25" s="30"/>
      <c r="D25" s="30"/>
      <c r="E25" s="30"/>
      <c r="F25" s="30"/>
      <c r="G25" s="31"/>
      <c r="H25" s="30"/>
      <c r="I25" s="30"/>
      <c r="J25" s="30"/>
      <c r="K25" s="30"/>
      <c r="L25" s="35"/>
    </row>
    <row r="26" spans="2:12" x14ac:dyDescent="0.15">
      <c r="B26" s="42"/>
      <c r="C26" s="16"/>
      <c r="D26" s="16"/>
      <c r="E26" s="16"/>
      <c r="F26" s="16"/>
      <c r="G26" s="15"/>
      <c r="H26" s="16"/>
      <c r="I26" s="16"/>
      <c r="J26" s="16"/>
      <c r="K26" s="16"/>
      <c r="L26" s="43">
        <f>MIN(J26-K26)</f>
        <v>0</v>
      </c>
    </row>
    <row r="27" spans="2:12" s="13" customFormat="1" x14ac:dyDescent="0.15">
      <c r="B27" s="42"/>
      <c r="C27" s="16"/>
      <c r="D27" s="16"/>
      <c r="E27" s="16"/>
      <c r="F27" s="16"/>
      <c r="G27" s="15"/>
      <c r="H27" s="16"/>
      <c r="I27" s="16"/>
      <c r="J27" s="16"/>
      <c r="K27" s="16"/>
      <c r="L27" s="43">
        <f>MIN(J27-K27)</f>
        <v>0</v>
      </c>
    </row>
    <row r="28" spans="2:12" x14ac:dyDescent="0.15">
      <c r="B28" s="42"/>
      <c r="C28" s="16"/>
      <c r="D28" s="16"/>
      <c r="E28" s="16"/>
      <c r="F28" s="16"/>
      <c r="G28" s="15"/>
      <c r="H28" s="16"/>
      <c r="I28" s="16"/>
      <c r="J28" s="16"/>
      <c r="K28" s="16"/>
      <c r="L28" s="43">
        <f>MIN(J28-K28)</f>
        <v>0</v>
      </c>
    </row>
    <row r="29" spans="2:12" ht="13" thickBot="1" x14ac:dyDescent="0.2">
      <c r="B29" s="32"/>
      <c r="C29" s="33"/>
      <c r="D29" s="33"/>
      <c r="E29" s="33"/>
      <c r="F29" s="33"/>
      <c r="G29" s="34"/>
      <c r="H29" s="33"/>
      <c r="I29" s="33"/>
      <c r="J29" s="33"/>
      <c r="K29" s="33"/>
      <c r="L29" s="36">
        <f>MIN(J29-K29)</f>
        <v>0</v>
      </c>
    </row>
    <row r="30" spans="2:12" ht="13" thickBot="1" x14ac:dyDescent="0.2">
      <c r="B30" s="21"/>
      <c r="C30" s="21"/>
      <c r="D30" s="21"/>
      <c r="E30" s="21"/>
      <c r="F30" s="21"/>
      <c r="G30" s="22"/>
      <c r="H30" s="21"/>
      <c r="I30" s="21"/>
      <c r="J30" s="23"/>
      <c r="K30" s="19" t="s">
        <v>10</v>
      </c>
      <c r="L30" s="37">
        <f>SUM(L25:L29)</f>
        <v>0</v>
      </c>
    </row>
    <row r="31" spans="2:12" x14ac:dyDescent="0.15">
      <c r="B31" s="21"/>
      <c r="C31" s="21"/>
      <c r="D31" s="21"/>
      <c r="E31" s="21"/>
      <c r="F31" s="21"/>
      <c r="G31" s="22"/>
      <c r="H31" s="21"/>
      <c r="I31" s="21"/>
      <c r="J31" s="23"/>
      <c r="K31" s="19"/>
      <c r="L31" s="20"/>
    </row>
    <row r="32" spans="2:12" ht="15.75" customHeight="1" thickBot="1" x14ac:dyDescent="0.2">
      <c r="B32" s="21"/>
      <c r="C32" s="21"/>
      <c r="D32" s="21"/>
      <c r="E32" s="21"/>
      <c r="F32" s="21"/>
      <c r="G32" s="22"/>
      <c r="H32" s="21"/>
      <c r="I32" s="21"/>
      <c r="J32" s="23"/>
      <c r="K32" s="19"/>
      <c r="L32" s="20"/>
    </row>
    <row r="33" spans="1:12" ht="15.75" customHeight="1" thickBot="1" x14ac:dyDescent="0.2">
      <c r="B33" s="131"/>
      <c r="C33" s="132"/>
      <c r="D33" s="132"/>
      <c r="E33" s="132"/>
      <c r="F33" s="132"/>
      <c r="G33" s="132"/>
      <c r="H33" s="132"/>
      <c r="I33" s="132"/>
      <c r="J33" s="132"/>
      <c r="K33" s="132"/>
      <c r="L33" s="133"/>
    </row>
    <row r="34" spans="1:12" x14ac:dyDescent="0.15">
      <c r="B34" s="28"/>
      <c r="C34" s="30"/>
      <c r="D34" s="30"/>
      <c r="E34" s="30"/>
      <c r="F34" s="30"/>
      <c r="G34" s="31"/>
      <c r="H34" s="30"/>
      <c r="I34" s="30"/>
      <c r="J34" s="30"/>
      <c r="K34" s="30"/>
      <c r="L34" s="35">
        <f>MIN(J34-K34)</f>
        <v>0</v>
      </c>
    </row>
    <row r="35" spans="1:12" x14ac:dyDescent="0.15">
      <c r="B35" s="42"/>
      <c r="C35" s="16"/>
      <c r="D35" s="16"/>
      <c r="E35" s="16"/>
      <c r="F35" s="16"/>
      <c r="G35" s="15"/>
      <c r="H35" s="16"/>
      <c r="I35" s="16"/>
      <c r="J35" s="16"/>
      <c r="K35" s="16"/>
      <c r="L35" s="43">
        <f>MIN(J35-K35)</f>
        <v>0</v>
      </c>
    </row>
    <row r="36" spans="1:12" x14ac:dyDescent="0.15">
      <c r="A36" s="13"/>
      <c r="B36" s="42"/>
      <c r="C36" s="16"/>
      <c r="D36" s="16"/>
      <c r="E36" s="16"/>
      <c r="F36" s="16"/>
      <c r="G36" s="15"/>
      <c r="H36" s="16"/>
      <c r="I36" s="16"/>
      <c r="J36" s="16"/>
      <c r="K36" s="16"/>
      <c r="L36" s="43">
        <f>MIN(J36-K36)</f>
        <v>0</v>
      </c>
    </row>
    <row r="37" spans="1:12" x14ac:dyDescent="0.15">
      <c r="B37" s="42"/>
      <c r="C37" s="16"/>
      <c r="D37" s="16"/>
      <c r="E37" s="16"/>
      <c r="F37" s="16"/>
      <c r="G37" s="15"/>
      <c r="H37" s="16"/>
      <c r="I37" s="16"/>
      <c r="J37" s="16"/>
      <c r="K37" s="16"/>
      <c r="L37" s="43">
        <f>MIN(J37-K37)</f>
        <v>0</v>
      </c>
    </row>
    <row r="38" spans="1:12" ht="13" thickBot="1" x14ac:dyDescent="0.2">
      <c r="B38" s="32"/>
      <c r="C38" s="33"/>
      <c r="D38" s="33"/>
      <c r="E38" s="33"/>
      <c r="F38" s="33"/>
      <c r="G38" s="34"/>
      <c r="H38" s="33"/>
      <c r="I38" s="33"/>
      <c r="J38" s="33"/>
      <c r="K38" s="33"/>
      <c r="L38" s="36">
        <f>MIN(J38-K38)</f>
        <v>0</v>
      </c>
    </row>
    <row r="39" spans="1:12" ht="13" thickBot="1" x14ac:dyDescent="0.2">
      <c r="B39" s="50"/>
      <c r="C39" s="50"/>
      <c r="D39" s="50"/>
      <c r="E39" s="50"/>
      <c r="F39" s="50"/>
      <c r="G39" s="51"/>
      <c r="H39" s="50"/>
      <c r="I39" s="11"/>
      <c r="J39" s="53"/>
      <c r="K39" s="54" t="s">
        <v>29</v>
      </c>
      <c r="L39" s="57">
        <f>SUM(L34:L38)</f>
        <v>0</v>
      </c>
    </row>
    <row r="42" spans="1:12" x14ac:dyDescent="0.15">
      <c r="I42" s="55" t="s">
        <v>27</v>
      </c>
      <c r="L42" s="56">
        <f>L8+L15+L22+L30+L39</f>
        <v>0</v>
      </c>
    </row>
    <row r="45" spans="1:12" x14ac:dyDescent="0.15">
      <c r="K45" s="24"/>
      <c r="L45" s="25"/>
    </row>
    <row r="51" spans="2:16" x14ac:dyDescent="0.15">
      <c r="B51" s="7"/>
    </row>
    <row r="52" spans="2:16" x14ac:dyDescent="0.15">
      <c r="B52" s="7"/>
    </row>
    <row r="56" spans="2:16" s="14" customFormat="1" x14ac:dyDescent="0.15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2:16" s="14" customFormat="1" x14ac:dyDescent="0.15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</sheetData>
  <mergeCells count="14">
    <mergeCell ref="B33:L33"/>
    <mergeCell ref="B10:L10"/>
    <mergeCell ref="B17:L17"/>
    <mergeCell ref="B24:L24"/>
    <mergeCell ref="B1:L1"/>
    <mergeCell ref="B3:B4"/>
    <mergeCell ref="C3:C4"/>
    <mergeCell ref="I3:K3"/>
    <mergeCell ref="L3:L4"/>
    <mergeCell ref="D3:D4"/>
    <mergeCell ref="E3:E4"/>
    <mergeCell ref="F3:F4"/>
    <mergeCell ref="G3:G4"/>
    <mergeCell ref="H3:H4"/>
  </mergeCells>
  <printOptions horizontalCentered="1"/>
  <pageMargins left="0.19685039370078741" right="0.19685039370078741" top="0.19685039370078741" bottom="0.19685039370078741" header="0.31496062992125984" footer="0.31496062992125984"/>
  <pageSetup scale="7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SEMANA</vt:lpstr>
      <vt:lpstr>Rep de pago 1</vt:lpstr>
      <vt:lpstr>Purgas</vt:lpstr>
      <vt:lpstr>RP'S</vt:lpstr>
      <vt:lpstr>Purgas!Área_de_impresión</vt:lpstr>
      <vt:lpstr>'RP''S'!Área_de_impresión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Vega</dc:creator>
  <cp:lastModifiedBy>Maria De Jesus Zatarain Rojas - Alumno</cp:lastModifiedBy>
  <cp:lastPrinted>2026-05-27T15:07:03Z</cp:lastPrinted>
  <dcterms:created xsi:type="dcterms:W3CDTF">2010-05-26T05:28:28Z</dcterms:created>
  <dcterms:modified xsi:type="dcterms:W3CDTF">2026-06-08T19:50:28Z</dcterms:modified>
</cp:coreProperties>
</file>